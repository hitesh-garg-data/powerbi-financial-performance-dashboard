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8442fd0b12f604a/Documents/DataAnalyticsPlan/Week03_SQL_Dashboard/Power BI/PowerBI_Dashboard/"/>
    </mc:Choice>
  </mc:AlternateContent>
  <xr:revisionPtr revIDLastSave="21" documentId="8_{DB58A865-80CD-4ACD-809D-B431CF456EA5}" xr6:coauthVersionLast="47" xr6:coauthVersionMax="47" xr10:uidLastSave="{7D8524CF-7751-4239-A72A-BC4B8CD8FE50}"/>
  <bookViews>
    <workbookView xWindow="-108" yWindow="-108" windowWidth="23256" windowHeight="12456" xr2:uid="{00000000-000D-0000-FFFF-FFFF00000000}"/>
  </bookViews>
  <sheets>
    <sheet name="Financials_Dataset" sheetId="7" r:id="rId1"/>
  </sheets>
  <definedNames>
    <definedName name="ExternalData_1" localSheetId="0" hidden="1">Financials_Dataset!$A$1:$P$701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7" l="1"/>
  <c r="W3" i="7"/>
  <c r="W4" i="7"/>
  <c r="W5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59" i="7"/>
  <c r="W160" i="7"/>
  <c r="W161" i="7"/>
  <c r="W162" i="7"/>
  <c r="W163" i="7"/>
  <c r="W164" i="7"/>
  <c r="W165" i="7"/>
  <c r="W166" i="7"/>
  <c r="W167" i="7"/>
  <c r="W168" i="7"/>
  <c r="W169" i="7"/>
  <c r="W170" i="7"/>
  <c r="W171" i="7"/>
  <c r="W172" i="7"/>
  <c r="W173" i="7"/>
  <c r="W174" i="7"/>
  <c r="W175" i="7"/>
  <c r="W176" i="7"/>
  <c r="W177" i="7"/>
  <c r="W178" i="7"/>
  <c r="W179" i="7"/>
  <c r="W180" i="7"/>
  <c r="W181" i="7"/>
  <c r="W182" i="7"/>
  <c r="W183" i="7"/>
  <c r="W184" i="7"/>
  <c r="W185" i="7"/>
  <c r="W186" i="7"/>
  <c r="W187" i="7"/>
  <c r="W188" i="7"/>
  <c r="W189" i="7"/>
  <c r="W190" i="7"/>
  <c r="W191" i="7"/>
  <c r="W192" i="7"/>
  <c r="W193" i="7"/>
  <c r="W194" i="7"/>
  <c r="W195" i="7"/>
  <c r="W196" i="7"/>
  <c r="W197" i="7"/>
  <c r="W198" i="7"/>
  <c r="W199" i="7"/>
  <c r="W200" i="7"/>
  <c r="W201" i="7"/>
  <c r="W202" i="7"/>
  <c r="W203" i="7"/>
  <c r="W204" i="7"/>
  <c r="W205" i="7"/>
  <c r="W206" i="7"/>
  <c r="W207" i="7"/>
  <c r="W208" i="7"/>
  <c r="W209" i="7"/>
  <c r="W210" i="7"/>
  <c r="W211" i="7"/>
  <c r="W212" i="7"/>
  <c r="W213" i="7"/>
  <c r="W214" i="7"/>
  <c r="W215" i="7"/>
  <c r="W216" i="7"/>
  <c r="W217" i="7"/>
  <c r="W218" i="7"/>
  <c r="W219" i="7"/>
  <c r="W220" i="7"/>
  <c r="W221" i="7"/>
  <c r="W222" i="7"/>
  <c r="W223" i="7"/>
  <c r="W224" i="7"/>
  <c r="W225" i="7"/>
  <c r="W226" i="7"/>
  <c r="W227" i="7"/>
  <c r="W228" i="7"/>
  <c r="W229" i="7"/>
  <c r="W230" i="7"/>
  <c r="W231" i="7"/>
  <c r="W232" i="7"/>
  <c r="W233" i="7"/>
  <c r="W234" i="7"/>
  <c r="W235" i="7"/>
  <c r="W236" i="7"/>
  <c r="W237" i="7"/>
  <c r="W238" i="7"/>
  <c r="W239" i="7"/>
  <c r="W240" i="7"/>
  <c r="W241" i="7"/>
  <c r="W242" i="7"/>
  <c r="W243" i="7"/>
  <c r="W244" i="7"/>
  <c r="W245" i="7"/>
  <c r="W246" i="7"/>
  <c r="W247" i="7"/>
  <c r="W248" i="7"/>
  <c r="W249" i="7"/>
  <c r="W250" i="7"/>
  <c r="W251" i="7"/>
  <c r="W252" i="7"/>
  <c r="W253" i="7"/>
  <c r="W254" i="7"/>
  <c r="W255" i="7"/>
  <c r="W256" i="7"/>
  <c r="W257" i="7"/>
  <c r="W258" i="7"/>
  <c r="W259" i="7"/>
  <c r="W260" i="7"/>
  <c r="W261" i="7"/>
  <c r="W262" i="7"/>
  <c r="W263" i="7"/>
  <c r="W264" i="7"/>
  <c r="W265" i="7"/>
  <c r="W266" i="7"/>
  <c r="W267" i="7"/>
  <c r="W268" i="7"/>
  <c r="W269" i="7"/>
  <c r="W270" i="7"/>
  <c r="W271" i="7"/>
  <c r="W272" i="7"/>
  <c r="W273" i="7"/>
  <c r="W274" i="7"/>
  <c r="W275" i="7"/>
  <c r="W276" i="7"/>
  <c r="W277" i="7"/>
  <c r="W278" i="7"/>
  <c r="W279" i="7"/>
  <c r="W280" i="7"/>
  <c r="W281" i="7"/>
  <c r="W282" i="7"/>
  <c r="W283" i="7"/>
  <c r="W284" i="7"/>
  <c r="W285" i="7"/>
  <c r="W286" i="7"/>
  <c r="W287" i="7"/>
  <c r="W288" i="7"/>
  <c r="W289" i="7"/>
  <c r="W290" i="7"/>
  <c r="W291" i="7"/>
  <c r="W292" i="7"/>
  <c r="W293" i="7"/>
  <c r="W294" i="7"/>
  <c r="W295" i="7"/>
  <c r="W296" i="7"/>
  <c r="W297" i="7"/>
  <c r="W298" i="7"/>
  <c r="W299" i="7"/>
  <c r="W300" i="7"/>
  <c r="W301" i="7"/>
  <c r="W302" i="7"/>
  <c r="W303" i="7"/>
  <c r="W304" i="7"/>
  <c r="W305" i="7"/>
  <c r="W306" i="7"/>
  <c r="W307" i="7"/>
  <c r="W308" i="7"/>
  <c r="W309" i="7"/>
  <c r="W310" i="7"/>
  <c r="W311" i="7"/>
  <c r="W312" i="7"/>
  <c r="W313" i="7"/>
  <c r="W314" i="7"/>
  <c r="W315" i="7"/>
  <c r="W316" i="7"/>
  <c r="W317" i="7"/>
  <c r="W318" i="7"/>
  <c r="W319" i="7"/>
  <c r="W320" i="7"/>
  <c r="W321" i="7"/>
  <c r="W322" i="7"/>
  <c r="W323" i="7"/>
  <c r="W324" i="7"/>
  <c r="W325" i="7"/>
  <c r="W326" i="7"/>
  <c r="W327" i="7"/>
  <c r="W328" i="7"/>
  <c r="W329" i="7"/>
  <c r="W330" i="7"/>
  <c r="W331" i="7"/>
  <c r="W332" i="7"/>
  <c r="W333" i="7"/>
  <c r="W334" i="7"/>
  <c r="W335" i="7"/>
  <c r="W336" i="7"/>
  <c r="W337" i="7"/>
  <c r="W338" i="7"/>
  <c r="W339" i="7"/>
  <c r="W340" i="7"/>
  <c r="W341" i="7"/>
  <c r="W342" i="7"/>
  <c r="W343" i="7"/>
  <c r="W344" i="7"/>
  <c r="W345" i="7"/>
  <c r="W346" i="7"/>
  <c r="W347" i="7"/>
  <c r="W348" i="7"/>
  <c r="W349" i="7"/>
  <c r="W350" i="7"/>
  <c r="W351" i="7"/>
  <c r="W352" i="7"/>
  <c r="W353" i="7"/>
  <c r="W354" i="7"/>
  <c r="W355" i="7"/>
  <c r="W356" i="7"/>
  <c r="W357" i="7"/>
  <c r="W358" i="7"/>
  <c r="W359" i="7"/>
  <c r="W360" i="7"/>
  <c r="W361" i="7"/>
  <c r="W362" i="7"/>
  <c r="W363" i="7"/>
  <c r="W364" i="7"/>
  <c r="W365" i="7"/>
  <c r="W366" i="7"/>
  <c r="W367" i="7"/>
  <c r="W368" i="7"/>
  <c r="W369" i="7"/>
  <c r="W370" i="7"/>
  <c r="W371" i="7"/>
  <c r="W372" i="7"/>
  <c r="W373" i="7"/>
  <c r="W374" i="7"/>
  <c r="W375" i="7"/>
  <c r="W376" i="7"/>
  <c r="W377" i="7"/>
  <c r="W378" i="7"/>
  <c r="W379" i="7"/>
  <c r="W380" i="7"/>
  <c r="W381" i="7"/>
  <c r="W382" i="7"/>
  <c r="W383" i="7"/>
  <c r="W384" i="7"/>
  <c r="W385" i="7"/>
  <c r="W386" i="7"/>
  <c r="W387" i="7"/>
  <c r="W388" i="7"/>
  <c r="W389" i="7"/>
  <c r="W390" i="7"/>
  <c r="W391" i="7"/>
  <c r="W392" i="7"/>
  <c r="W393" i="7"/>
  <c r="W394" i="7"/>
  <c r="W395" i="7"/>
  <c r="W396" i="7"/>
  <c r="W397" i="7"/>
  <c r="W398" i="7"/>
  <c r="W399" i="7"/>
  <c r="W400" i="7"/>
  <c r="W401" i="7"/>
  <c r="W402" i="7"/>
  <c r="W403" i="7"/>
  <c r="W404" i="7"/>
  <c r="W405" i="7"/>
  <c r="W406" i="7"/>
  <c r="W407" i="7"/>
  <c r="W408" i="7"/>
  <c r="W409" i="7"/>
  <c r="W410" i="7"/>
  <c r="W411" i="7"/>
  <c r="W412" i="7"/>
  <c r="W413" i="7"/>
  <c r="W414" i="7"/>
  <c r="W415" i="7"/>
  <c r="W416" i="7"/>
  <c r="W417" i="7"/>
  <c r="W418" i="7"/>
  <c r="W419" i="7"/>
  <c r="W420" i="7"/>
  <c r="W421" i="7"/>
  <c r="W422" i="7"/>
  <c r="W423" i="7"/>
  <c r="W424" i="7"/>
  <c r="W425" i="7"/>
  <c r="W426" i="7"/>
  <c r="W427" i="7"/>
  <c r="W428" i="7"/>
  <c r="W429" i="7"/>
  <c r="W430" i="7"/>
  <c r="W431" i="7"/>
  <c r="W432" i="7"/>
  <c r="W433" i="7"/>
  <c r="W434" i="7"/>
  <c r="W435" i="7"/>
  <c r="W436" i="7"/>
  <c r="W437" i="7"/>
  <c r="W438" i="7"/>
  <c r="W439" i="7"/>
  <c r="W440" i="7"/>
  <c r="W441" i="7"/>
  <c r="W442" i="7"/>
  <c r="W443" i="7"/>
  <c r="W444" i="7"/>
  <c r="W445" i="7"/>
  <c r="W446" i="7"/>
  <c r="W447" i="7"/>
  <c r="W448" i="7"/>
  <c r="W449" i="7"/>
  <c r="W450" i="7"/>
  <c r="W451" i="7"/>
  <c r="W452" i="7"/>
  <c r="W453" i="7"/>
  <c r="W454" i="7"/>
  <c r="W455" i="7"/>
  <c r="W456" i="7"/>
  <c r="W457" i="7"/>
  <c r="W458" i="7"/>
  <c r="W459" i="7"/>
  <c r="W460" i="7"/>
  <c r="W461" i="7"/>
  <c r="W462" i="7"/>
  <c r="W463" i="7"/>
  <c r="W464" i="7"/>
  <c r="W465" i="7"/>
  <c r="W466" i="7"/>
  <c r="W467" i="7"/>
  <c r="W468" i="7"/>
  <c r="W469" i="7"/>
  <c r="W470" i="7"/>
  <c r="W471" i="7"/>
  <c r="W472" i="7"/>
  <c r="W473" i="7"/>
  <c r="W474" i="7"/>
  <c r="W475" i="7"/>
  <c r="W476" i="7"/>
  <c r="W477" i="7"/>
  <c r="W478" i="7"/>
  <c r="W479" i="7"/>
  <c r="W480" i="7"/>
  <c r="W481" i="7"/>
  <c r="W482" i="7"/>
  <c r="W483" i="7"/>
  <c r="W484" i="7"/>
  <c r="W485" i="7"/>
  <c r="W486" i="7"/>
  <c r="W487" i="7"/>
  <c r="W488" i="7"/>
  <c r="W489" i="7"/>
  <c r="W490" i="7"/>
  <c r="W491" i="7"/>
  <c r="W492" i="7"/>
  <c r="W493" i="7"/>
  <c r="W494" i="7"/>
  <c r="W495" i="7"/>
  <c r="W496" i="7"/>
  <c r="W497" i="7"/>
  <c r="W498" i="7"/>
  <c r="W499" i="7"/>
  <c r="W500" i="7"/>
  <c r="W501" i="7"/>
  <c r="W502" i="7"/>
  <c r="W503" i="7"/>
  <c r="W504" i="7"/>
  <c r="W505" i="7"/>
  <c r="W506" i="7"/>
  <c r="W507" i="7"/>
  <c r="W508" i="7"/>
  <c r="W509" i="7"/>
  <c r="W510" i="7"/>
  <c r="W511" i="7"/>
  <c r="W512" i="7"/>
  <c r="W513" i="7"/>
  <c r="W514" i="7"/>
  <c r="W515" i="7"/>
  <c r="W516" i="7"/>
  <c r="W517" i="7"/>
  <c r="W518" i="7"/>
  <c r="W519" i="7"/>
  <c r="W520" i="7"/>
  <c r="W521" i="7"/>
  <c r="W522" i="7"/>
  <c r="W523" i="7"/>
  <c r="W524" i="7"/>
  <c r="W525" i="7"/>
  <c r="W526" i="7"/>
  <c r="W527" i="7"/>
  <c r="W528" i="7"/>
  <c r="W529" i="7"/>
  <c r="W530" i="7"/>
  <c r="W531" i="7"/>
  <c r="W532" i="7"/>
  <c r="W533" i="7"/>
  <c r="W534" i="7"/>
  <c r="W535" i="7"/>
  <c r="W536" i="7"/>
  <c r="W537" i="7"/>
  <c r="W538" i="7"/>
  <c r="W539" i="7"/>
  <c r="W540" i="7"/>
  <c r="W541" i="7"/>
  <c r="W542" i="7"/>
  <c r="W543" i="7"/>
  <c r="W544" i="7"/>
  <c r="W545" i="7"/>
  <c r="W546" i="7"/>
  <c r="W547" i="7"/>
  <c r="W548" i="7"/>
  <c r="W549" i="7"/>
  <c r="W550" i="7"/>
  <c r="W551" i="7"/>
  <c r="W552" i="7"/>
  <c r="W553" i="7"/>
  <c r="W554" i="7"/>
  <c r="W555" i="7"/>
  <c r="W556" i="7"/>
  <c r="W557" i="7"/>
  <c r="W558" i="7"/>
  <c r="W559" i="7"/>
  <c r="W560" i="7"/>
  <c r="W561" i="7"/>
  <c r="W562" i="7"/>
  <c r="W563" i="7"/>
  <c r="W564" i="7"/>
  <c r="W565" i="7"/>
  <c r="W566" i="7"/>
  <c r="W567" i="7"/>
  <c r="W568" i="7"/>
  <c r="W569" i="7"/>
  <c r="W570" i="7"/>
  <c r="W571" i="7"/>
  <c r="W572" i="7"/>
  <c r="W573" i="7"/>
  <c r="W574" i="7"/>
  <c r="W575" i="7"/>
  <c r="W576" i="7"/>
  <c r="W577" i="7"/>
  <c r="W578" i="7"/>
  <c r="W579" i="7"/>
  <c r="W580" i="7"/>
  <c r="W581" i="7"/>
  <c r="W582" i="7"/>
  <c r="W583" i="7"/>
  <c r="W584" i="7"/>
  <c r="W585" i="7"/>
  <c r="W586" i="7"/>
  <c r="W587" i="7"/>
  <c r="W588" i="7"/>
  <c r="W589" i="7"/>
  <c r="W590" i="7"/>
  <c r="W591" i="7"/>
  <c r="W592" i="7"/>
  <c r="W593" i="7"/>
  <c r="W594" i="7"/>
  <c r="W595" i="7"/>
  <c r="W596" i="7"/>
  <c r="W597" i="7"/>
  <c r="W598" i="7"/>
  <c r="W599" i="7"/>
  <c r="W600" i="7"/>
  <c r="W601" i="7"/>
  <c r="W602" i="7"/>
  <c r="W603" i="7"/>
  <c r="W604" i="7"/>
  <c r="W605" i="7"/>
  <c r="W606" i="7"/>
  <c r="W607" i="7"/>
  <c r="W608" i="7"/>
  <c r="W609" i="7"/>
  <c r="W610" i="7"/>
  <c r="W611" i="7"/>
  <c r="W612" i="7"/>
  <c r="W613" i="7"/>
  <c r="W614" i="7"/>
  <c r="W615" i="7"/>
  <c r="W616" i="7"/>
  <c r="W617" i="7"/>
  <c r="W618" i="7"/>
  <c r="W619" i="7"/>
  <c r="W620" i="7"/>
  <c r="W621" i="7"/>
  <c r="W622" i="7"/>
  <c r="W623" i="7"/>
  <c r="W624" i="7"/>
  <c r="W625" i="7"/>
  <c r="W626" i="7"/>
  <c r="W627" i="7"/>
  <c r="W628" i="7"/>
  <c r="W629" i="7"/>
  <c r="W630" i="7"/>
  <c r="W631" i="7"/>
  <c r="W632" i="7"/>
  <c r="W633" i="7"/>
  <c r="W634" i="7"/>
  <c r="W635" i="7"/>
  <c r="W636" i="7"/>
  <c r="W637" i="7"/>
  <c r="W638" i="7"/>
  <c r="W639" i="7"/>
  <c r="W640" i="7"/>
  <c r="W641" i="7"/>
  <c r="W642" i="7"/>
  <c r="W643" i="7"/>
  <c r="W644" i="7"/>
  <c r="W645" i="7"/>
  <c r="W646" i="7"/>
  <c r="W647" i="7"/>
  <c r="W648" i="7"/>
  <c r="W649" i="7"/>
  <c r="W650" i="7"/>
  <c r="W651" i="7"/>
  <c r="W652" i="7"/>
  <c r="W653" i="7"/>
  <c r="W654" i="7"/>
  <c r="W655" i="7"/>
  <c r="W656" i="7"/>
  <c r="W657" i="7"/>
  <c r="W658" i="7"/>
  <c r="W659" i="7"/>
  <c r="W660" i="7"/>
  <c r="W661" i="7"/>
  <c r="W662" i="7"/>
  <c r="W663" i="7"/>
  <c r="W664" i="7"/>
  <c r="W665" i="7"/>
  <c r="W666" i="7"/>
  <c r="W667" i="7"/>
  <c r="W668" i="7"/>
  <c r="W669" i="7"/>
  <c r="W670" i="7"/>
  <c r="W671" i="7"/>
  <c r="W672" i="7"/>
  <c r="W673" i="7"/>
  <c r="W674" i="7"/>
  <c r="W675" i="7"/>
  <c r="W676" i="7"/>
  <c r="W677" i="7"/>
  <c r="W678" i="7"/>
  <c r="W679" i="7"/>
  <c r="W680" i="7"/>
  <c r="W681" i="7"/>
  <c r="W682" i="7"/>
  <c r="W683" i="7"/>
  <c r="W684" i="7"/>
  <c r="W685" i="7"/>
  <c r="W686" i="7"/>
  <c r="W687" i="7"/>
  <c r="W688" i="7"/>
  <c r="W689" i="7"/>
  <c r="W690" i="7"/>
  <c r="W691" i="7"/>
  <c r="W692" i="7"/>
  <c r="W693" i="7"/>
  <c r="W694" i="7"/>
  <c r="W695" i="7"/>
  <c r="W696" i="7"/>
  <c r="W697" i="7"/>
  <c r="W698" i="7"/>
  <c r="W699" i="7"/>
  <c r="W700" i="7"/>
  <c r="W701" i="7"/>
  <c r="V2" i="7"/>
  <c r="V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88" i="7"/>
  <c r="V89" i="7"/>
  <c r="V90" i="7"/>
  <c r="V91" i="7"/>
  <c r="V92" i="7"/>
  <c r="V93" i="7"/>
  <c r="V94" i="7"/>
  <c r="V95" i="7"/>
  <c r="V96" i="7"/>
  <c r="V97" i="7"/>
  <c r="V98" i="7"/>
  <c r="V99" i="7"/>
  <c r="V100" i="7"/>
  <c r="V101" i="7"/>
  <c r="V102" i="7"/>
  <c r="V103" i="7"/>
  <c r="V104" i="7"/>
  <c r="V105" i="7"/>
  <c r="V106" i="7"/>
  <c r="V107" i="7"/>
  <c r="V108" i="7"/>
  <c r="V109" i="7"/>
  <c r="V110" i="7"/>
  <c r="V111" i="7"/>
  <c r="V112" i="7"/>
  <c r="V113" i="7"/>
  <c r="V114" i="7"/>
  <c r="V115" i="7"/>
  <c r="V116" i="7"/>
  <c r="V117" i="7"/>
  <c r="V118" i="7"/>
  <c r="V119" i="7"/>
  <c r="V120" i="7"/>
  <c r="V121" i="7"/>
  <c r="V122" i="7"/>
  <c r="V123" i="7"/>
  <c r="V124" i="7"/>
  <c r="V125" i="7"/>
  <c r="V126" i="7"/>
  <c r="V127" i="7"/>
  <c r="V128" i="7"/>
  <c r="V129" i="7"/>
  <c r="V130" i="7"/>
  <c r="V131" i="7"/>
  <c r="V132" i="7"/>
  <c r="V133" i="7"/>
  <c r="V134" i="7"/>
  <c r="V135" i="7"/>
  <c r="V136" i="7"/>
  <c r="V137" i="7"/>
  <c r="V138" i="7"/>
  <c r="V139" i="7"/>
  <c r="V140" i="7"/>
  <c r="V141" i="7"/>
  <c r="V142" i="7"/>
  <c r="V143" i="7"/>
  <c r="V144" i="7"/>
  <c r="V145" i="7"/>
  <c r="V146" i="7"/>
  <c r="V147" i="7"/>
  <c r="V148" i="7"/>
  <c r="V149" i="7"/>
  <c r="V150" i="7"/>
  <c r="V151" i="7"/>
  <c r="V152" i="7"/>
  <c r="V153" i="7"/>
  <c r="V154" i="7"/>
  <c r="V155" i="7"/>
  <c r="V156" i="7"/>
  <c r="V157" i="7"/>
  <c r="V158" i="7"/>
  <c r="V159" i="7"/>
  <c r="V160" i="7"/>
  <c r="V161" i="7"/>
  <c r="V162" i="7"/>
  <c r="V163" i="7"/>
  <c r="V164" i="7"/>
  <c r="V165" i="7"/>
  <c r="V166" i="7"/>
  <c r="V167" i="7"/>
  <c r="V168" i="7"/>
  <c r="V169" i="7"/>
  <c r="V170" i="7"/>
  <c r="V171" i="7"/>
  <c r="V172" i="7"/>
  <c r="V173" i="7"/>
  <c r="V174" i="7"/>
  <c r="V175" i="7"/>
  <c r="V176" i="7"/>
  <c r="V177" i="7"/>
  <c r="V178" i="7"/>
  <c r="V179" i="7"/>
  <c r="V180" i="7"/>
  <c r="V181" i="7"/>
  <c r="V182" i="7"/>
  <c r="V183" i="7"/>
  <c r="V184" i="7"/>
  <c r="V185" i="7"/>
  <c r="V186" i="7"/>
  <c r="V187" i="7"/>
  <c r="V188" i="7"/>
  <c r="V189" i="7"/>
  <c r="V190" i="7"/>
  <c r="V191" i="7"/>
  <c r="V192" i="7"/>
  <c r="V193" i="7"/>
  <c r="V194" i="7"/>
  <c r="V195" i="7"/>
  <c r="V196" i="7"/>
  <c r="V197" i="7"/>
  <c r="V198" i="7"/>
  <c r="V199" i="7"/>
  <c r="V200" i="7"/>
  <c r="V201" i="7"/>
  <c r="V202" i="7"/>
  <c r="V203" i="7"/>
  <c r="V204" i="7"/>
  <c r="V205" i="7"/>
  <c r="V206" i="7"/>
  <c r="V207" i="7"/>
  <c r="V208" i="7"/>
  <c r="V209" i="7"/>
  <c r="V210" i="7"/>
  <c r="V211" i="7"/>
  <c r="V212" i="7"/>
  <c r="V213" i="7"/>
  <c r="V214" i="7"/>
  <c r="V215" i="7"/>
  <c r="V216" i="7"/>
  <c r="V217" i="7"/>
  <c r="V218" i="7"/>
  <c r="V219" i="7"/>
  <c r="V220" i="7"/>
  <c r="V221" i="7"/>
  <c r="V222" i="7"/>
  <c r="V223" i="7"/>
  <c r="V224" i="7"/>
  <c r="V225" i="7"/>
  <c r="V226" i="7"/>
  <c r="V227" i="7"/>
  <c r="V228" i="7"/>
  <c r="V229" i="7"/>
  <c r="V230" i="7"/>
  <c r="V231" i="7"/>
  <c r="V232" i="7"/>
  <c r="V233" i="7"/>
  <c r="V234" i="7"/>
  <c r="V235" i="7"/>
  <c r="V236" i="7"/>
  <c r="V237" i="7"/>
  <c r="V238" i="7"/>
  <c r="V239" i="7"/>
  <c r="V240" i="7"/>
  <c r="V241" i="7"/>
  <c r="V242" i="7"/>
  <c r="V243" i="7"/>
  <c r="V244" i="7"/>
  <c r="V245" i="7"/>
  <c r="V246" i="7"/>
  <c r="V247" i="7"/>
  <c r="V248" i="7"/>
  <c r="V249" i="7"/>
  <c r="V250" i="7"/>
  <c r="V251" i="7"/>
  <c r="V252" i="7"/>
  <c r="V253" i="7"/>
  <c r="V254" i="7"/>
  <c r="V255" i="7"/>
  <c r="V256" i="7"/>
  <c r="V257" i="7"/>
  <c r="V258" i="7"/>
  <c r="V259" i="7"/>
  <c r="V260" i="7"/>
  <c r="V261" i="7"/>
  <c r="V262" i="7"/>
  <c r="V263" i="7"/>
  <c r="V264" i="7"/>
  <c r="V265" i="7"/>
  <c r="V266" i="7"/>
  <c r="V267" i="7"/>
  <c r="V268" i="7"/>
  <c r="V269" i="7"/>
  <c r="V270" i="7"/>
  <c r="V271" i="7"/>
  <c r="V272" i="7"/>
  <c r="V273" i="7"/>
  <c r="V274" i="7"/>
  <c r="V275" i="7"/>
  <c r="V276" i="7"/>
  <c r="V277" i="7"/>
  <c r="V278" i="7"/>
  <c r="V279" i="7"/>
  <c r="V280" i="7"/>
  <c r="V281" i="7"/>
  <c r="V282" i="7"/>
  <c r="V283" i="7"/>
  <c r="V284" i="7"/>
  <c r="V285" i="7"/>
  <c r="V286" i="7"/>
  <c r="V287" i="7"/>
  <c r="V288" i="7"/>
  <c r="V289" i="7"/>
  <c r="V290" i="7"/>
  <c r="V291" i="7"/>
  <c r="V292" i="7"/>
  <c r="V293" i="7"/>
  <c r="V294" i="7"/>
  <c r="V295" i="7"/>
  <c r="V296" i="7"/>
  <c r="V297" i="7"/>
  <c r="V298" i="7"/>
  <c r="V299" i="7"/>
  <c r="V300" i="7"/>
  <c r="V301" i="7"/>
  <c r="V302" i="7"/>
  <c r="V303" i="7"/>
  <c r="V304" i="7"/>
  <c r="V305" i="7"/>
  <c r="V306" i="7"/>
  <c r="V307" i="7"/>
  <c r="V308" i="7"/>
  <c r="V309" i="7"/>
  <c r="V310" i="7"/>
  <c r="V311" i="7"/>
  <c r="V312" i="7"/>
  <c r="V313" i="7"/>
  <c r="V314" i="7"/>
  <c r="V315" i="7"/>
  <c r="V316" i="7"/>
  <c r="V317" i="7"/>
  <c r="V318" i="7"/>
  <c r="V319" i="7"/>
  <c r="V320" i="7"/>
  <c r="V321" i="7"/>
  <c r="V322" i="7"/>
  <c r="V323" i="7"/>
  <c r="V324" i="7"/>
  <c r="V325" i="7"/>
  <c r="V326" i="7"/>
  <c r="V327" i="7"/>
  <c r="V328" i="7"/>
  <c r="V329" i="7"/>
  <c r="V330" i="7"/>
  <c r="V331" i="7"/>
  <c r="V332" i="7"/>
  <c r="V333" i="7"/>
  <c r="V334" i="7"/>
  <c r="V335" i="7"/>
  <c r="V336" i="7"/>
  <c r="V337" i="7"/>
  <c r="V338" i="7"/>
  <c r="V339" i="7"/>
  <c r="V340" i="7"/>
  <c r="V341" i="7"/>
  <c r="V342" i="7"/>
  <c r="V343" i="7"/>
  <c r="V344" i="7"/>
  <c r="V345" i="7"/>
  <c r="V346" i="7"/>
  <c r="V347" i="7"/>
  <c r="V348" i="7"/>
  <c r="V349" i="7"/>
  <c r="V350" i="7"/>
  <c r="V351" i="7"/>
  <c r="V352" i="7"/>
  <c r="V353" i="7"/>
  <c r="V354" i="7"/>
  <c r="V355" i="7"/>
  <c r="V356" i="7"/>
  <c r="V357" i="7"/>
  <c r="V358" i="7"/>
  <c r="V359" i="7"/>
  <c r="V360" i="7"/>
  <c r="V361" i="7"/>
  <c r="V362" i="7"/>
  <c r="V363" i="7"/>
  <c r="V364" i="7"/>
  <c r="V365" i="7"/>
  <c r="V366" i="7"/>
  <c r="V367" i="7"/>
  <c r="V368" i="7"/>
  <c r="V369" i="7"/>
  <c r="V370" i="7"/>
  <c r="V371" i="7"/>
  <c r="V372" i="7"/>
  <c r="V373" i="7"/>
  <c r="V374" i="7"/>
  <c r="V375" i="7"/>
  <c r="V376" i="7"/>
  <c r="V377" i="7"/>
  <c r="V378" i="7"/>
  <c r="V379" i="7"/>
  <c r="V380" i="7"/>
  <c r="V381" i="7"/>
  <c r="V382" i="7"/>
  <c r="V383" i="7"/>
  <c r="V384" i="7"/>
  <c r="V385" i="7"/>
  <c r="V386" i="7"/>
  <c r="V387" i="7"/>
  <c r="V388" i="7"/>
  <c r="V389" i="7"/>
  <c r="V390" i="7"/>
  <c r="V391" i="7"/>
  <c r="V392" i="7"/>
  <c r="V393" i="7"/>
  <c r="V394" i="7"/>
  <c r="V395" i="7"/>
  <c r="V396" i="7"/>
  <c r="V397" i="7"/>
  <c r="V398" i="7"/>
  <c r="V399" i="7"/>
  <c r="V400" i="7"/>
  <c r="V401" i="7"/>
  <c r="V402" i="7"/>
  <c r="V403" i="7"/>
  <c r="V404" i="7"/>
  <c r="V405" i="7"/>
  <c r="V406" i="7"/>
  <c r="V407" i="7"/>
  <c r="V408" i="7"/>
  <c r="V409" i="7"/>
  <c r="V410" i="7"/>
  <c r="V411" i="7"/>
  <c r="V412" i="7"/>
  <c r="V413" i="7"/>
  <c r="V414" i="7"/>
  <c r="V415" i="7"/>
  <c r="V416" i="7"/>
  <c r="V417" i="7"/>
  <c r="V418" i="7"/>
  <c r="V419" i="7"/>
  <c r="V420" i="7"/>
  <c r="V421" i="7"/>
  <c r="V422" i="7"/>
  <c r="V423" i="7"/>
  <c r="V424" i="7"/>
  <c r="V425" i="7"/>
  <c r="V426" i="7"/>
  <c r="V427" i="7"/>
  <c r="V428" i="7"/>
  <c r="V429" i="7"/>
  <c r="V430" i="7"/>
  <c r="V431" i="7"/>
  <c r="V432" i="7"/>
  <c r="V433" i="7"/>
  <c r="V434" i="7"/>
  <c r="V435" i="7"/>
  <c r="V436" i="7"/>
  <c r="V437" i="7"/>
  <c r="V438" i="7"/>
  <c r="V439" i="7"/>
  <c r="V440" i="7"/>
  <c r="V441" i="7"/>
  <c r="V442" i="7"/>
  <c r="V443" i="7"/>
  <c r="V444" i="7"/>
  <c r="V445" i="7"/>
  <c r="V446" i="7"/>
  <c r="V447" i="7"/>
  <c r="V448" i="7"/>
  <c r="V449" i="7"/>
  <c r="V450" i="7"/>
  <c r="V451" i="7"/>
  <c r="V452" i="7"/>
  <c r="V453" i="7"/>
  <c r="V454" i="7"/>
  <c r="V455" i="7"/>
  <c r="V456" i="7"/>
  <c r="V457" i="7"/>
  <c r="V458" i="7"/>
  <c r="V459" i="7"/>
  <c r="V460" i="7"/>
  <c r="V461" i="7"/>
  <c r="V462" i="7"/>
  <c r="V463" i="7"/>
  <c r="V464" i="7"/>
  <c r="V465" i="7"/>
  <c r="V466" i="7"/>
  <c r="V467" i="7"/>
  <c r="V468" i="7"/>
  <c r="V469" i="7"/>
  <c r="V470" i="7"/>
  <c r="V471" i="7"/>
  <c r="V472" i="7"/>
  <c r="V473" i="7"/>
  <c r="V474" i="7"/>
  <c r="V475" i="7"/>
  <c r="V476" i="7"/>
  <c r="V477" i="7"/>
  <c r="V478" i="7"/>
  <c r="V479" i="7"/>
  <c r="V480" i="7"/>
  <c r="V481" i="7"/>
  <c r="V482" i="7"/>
  <c r="V483" i="7"/>
  <c r="V484" i="7"/>
  <c r="V485" i="7"/>
  <c r="V486" i="7"/>
  <c r="V487" i="7"/>
  <c r="V488" i="7"/>
  <c r="V489" i="7"/>
  <c r="V490" i="7"/>
  <c r="V491" i="7"/>
  <c r="V492" i="7"/>
  <c r="V493" i="7"/>
  <c r="V494" i="7"/>
  <c r="V495" i="7"/>
  <c r="V496" i="7"/>
  <c r="V497" i="7"/>
  <c r="V498" i="7"/>
  <c r="V499" i="7"/>
  <c r="V500" i="7"/>
  <c r="V501" i="7"/>
  <c r="V502" i="7"/>
  <c r="V503" i="7"/>
  <c r="V504" i="7"/>
  <c r="V505" i="7"/>
  <c r="V506" i="7"/>
  <c r="V507" i="7"/>
  <c r="V508" i="7"/>
  <c r="V509" i="7"/>
  <c r="V510" i="7"/>
  <c r="V511" i="7"/>
  <c r="V512" i="7"/>
  <c r="V513" i="7"/>
  <c r="V514" i="7"/>
  <c r="V515" i="7"/>
  <c r="V516" i="7"/>
  <c r="V517" i="7"/>
  <c r="V518" i="7"/>
  <c r="V519" i="7"/>
  <c r="V520" i="7"/>
  <c r="V521" i="7"/>
  <c r="V522" i="7"/>
  <c r="V523" i="7"/>
  <c r="V524" i="7"/>
  <c r="V525" i="7"/>
  <c r="V526" i="7"/>
  <c r="V527" i="7"/>
  <c r="V528" i="7"/>
  <c r="V529" i="7"/>
  <c r="V530" i="7"/>
  <c r="V531" i="7"/>
  <c r="V532" i="7"/>
  <c r="V533" i="7"/>
  <c r="V534" i="7"/>
  <c r="V535" i="7"/>
  <c r="V536" i="7"/>
  <c r="V537" i="7"/>
  <c r="V538" i="7"/>
  <c r="V539" i="7"/>
  <c r="V540" i="7"/>
  <c r="V541" i="7"/>
  <c r="V542" i="7"/>
  <c r="V543" i="7"/>
  <c r="V544" i="7"/>
  <c r="V545" i="7"/>
  <c r="V546" i="7"/>
  <c r="V547" i="7"/>
  <c r="V548" i="7"/>
  <c r="V549" i="7"/>
  <c r="V550" i="7"/>
  <c r="V551" i="7"/>
  <c r="V552" i="7"/>
  <c r="V553" i="7"/>
  <c r="V554" i="7"/>
  <c r="V555" i="7"/>
  <c r="V556" i="7"/>
  <c r="V557" i="7"/>
  <c r="V558" i="7"/>
  <c r="V559" i="7"/>
  <c r="V560" i="7"/>
  <c r="V561" i="7"/>
  <c r="V562" i="7"/>
  <c r="V563" i="7"/>
  <c r="V564" i="7"/>
  <c r="V565" i="7"/>
  <c r="V566" i="7"/>
  <c r="V567" i="7"/>
  <c r="V568" i="7"/>
  <c r="V569" i="7"/>
  <c r="V570" i="7"/>
  <c r="V571" i="7"/>
  <c r="V572" i="7"/>
  <c r="V573" i="7"/>
  <c r="V574" i="7"/>
  <c r="V575" i="7"/>
  <c r="V576" i="7"/>
  <c r="V577" i="7"/>
  <c r="V578" i="7"/>
  <c r="V579" i="7"/>
  <c r="V580" i="7"/>
  <c r="V581" i="7"/>
  <c r="V582" i="7"/>
  <c r="V583" i="7"/>
  <c r="V584" i="7"/>
  <c r="V585" i="7"/>
  <c r="V586" i="7"/>
  <c r="V587" i="7"/>
  <c r="V588" i="7"/>
  <c r="V589" i="7"/>
  <c r="V590" i="7"/>
  <c r="V591" i="7"/>
  <c r="V592" i="7"/>
  <c r="V593" i="7"/>
  <c r="V594" i="7"/>
  <c r="V595" i="7"/>
  <c r="V596" i="7"/>
  <c r="V597" i="7"/>
  <c r="V598" i="7"/>
  <c r="V599" i="7"/>
  <c r="V600" i="7"/>
  <c r="V601" i="7"/>
  <c r="V602" i="7"/>
  <c r="V603" i="7"/>
  <c r="V604" i="7"/>
  <c r="V605" i="7"/>
  <c r="V606" i="7"/>
  <c r="V607" i="7"/>
  <c r="V608" i="7"/>
  <c r="V609" i="7"/>
  <c r="V610" i="7"/>
  <c r="V611" i="7"/>
  <c r="V612" i="7"/>
  <c r="V613" i="7"/>
  <c r="V614" i="7"/>
  <c r="V615" i="7"/>
  <c r="V616" i="7"/>
  <c r="V617" i="7"/>
  <c r="V618" i="7"/>
  <c r="V619" i="7"/>
  <c r="V620" i="7"/>
  <c r="V621" i="7"/>
  <c r="V622" i="7"/>
  <c r="V623" i="7"/>
  <c r="V624" i="7"/>
  <c r="V625" i="7"/>
  <c r="V626" i="7"/>
  <c r="V627" i="7"/>
  <c r="V628" i="7"/>
  <c r="V629" i="7"/>
  <c r="V630" i="7"/>
  <c r="V631" i="7"/>
  <c r="V632" i="7"/>
  <c r="V633" i="7"/>
  <c r="V634" i="7"/>
  <c r="V635" i="7"/>
  <c r="V636" i="7"/>
  <c r="V637" i="7"/>
  <c r="V638" i="7"/>
  <c r="V639" i="7"/>
  <c r="V640" i="7"/>
  <c r="V641" i="7"/>
  <c r="V642" i="7"/>
  <c r="V643" i="7"/>
  <c r="V644" i="7"/>
  <c r="V645" i="7"/>
  <c r="V646" i="7"/>
  <c r="V647" i="7"/>
  <c r="V648" i="7"/>
  <c r="V649" i="7"/>
  <c r="V650" i="7"/>
  <c r="V651" i="7"/>
  <c r="V652" i="7"/>
  <c r="V653" i="7"/>
  <c r="V654" i="7"/>
  <c r="V655" i="7"/>
  <c r="V656" i="7"/>
  <c r="V657" i="7"/>
  <c r="V658" i="7"/>
  <c r="V659" i="7"/>
  <c r="V660" i="7"/>
  <c r="V661" i="7"/>
  <c r="V662" i="7"/>
  <c r="V663" i="7"/>
  <c r="V664" i="7"/>
  <c r="V665" i="7"/>
  <c r="V666" i="7"/>
  <c r="V667" i="7"/>
  <c r="V668" i="7"/>
  <c r="V669" i="7"/>
  <c r="V670" i="7"/>
  <c r="V671" i="7"/>
  <c r="V672" i="7"/>
  <c r="V673" i="7"/>
  <c r="V674" i="7"/>
  <c r="V675" i="7"/>
  <c r="V676" i="7"/>
  <c r="V677" i="7"/>
  <c r="V678" i="7"/>
  <c r="V679" i="7"/>
  <c r="V680" i="7"/>
  <c r="V681" i="7"/>
  <c r="V682" i="7"/>
  <c r="V683" i="7"/>
  <c r="V684" i="7"/>
  <c r="V685" i="7"/>
  <c r="V686" i="7"/>
  <c r="V687" i="7"/>
  <c r="V688" i="7"/>
  <c r="V689" i="7"/>
  <c r="V690" i="7"/>
  <c r="V691" i="7"/>
  <c r="V692" i="7"/>
  <c r="V693" i="7"/>
  <c r="V694" i="7"/>
  <c r="V695" i="7"/>
  <c r="V696" i="7"/>
  <c r="V697" i="7"/>
  <c r="V698" i="7"/>
  <c r="V699" i="7"/>
  <c r="V700" i="7"/>
  <c r="V701" i="7"/>
  <c r="S2" i="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S172" i="7"/>
  <c r="S173" i="7"/>
  <c r="S174" i="7"/>
  <c r="S175" i="7"/>
  <c r="S176" i="7"/>
  <c r="S177" i="7"/>
  <c r="S178" i="7"/>
  <c r="S179" i="7"/>
  <c r="S180" i="7"/>
  <c r="S181" i="7"/>
  <c r="S182" i="7"/>
  <c r="S183" i="7"/>
  <c r="S184" i="7"/>
  <c r="S185" i="7"/>
  <c r="S186" i="7"/>
  <c r="S187" i="7"/>
  <c r="S188" i="7"/>
  <c r="S189" i="7"/>
  <c r="S190" i="7"/>
  <c r="S191" i="7"/>
  <c r="S192" i="7"/>
  <c r="S193" i="7"/>
  <c r="S194" i="7"/>
  <c r="S195" i="7"/>
  <c r="S196" i="7"/>
  <c r="S197" i="7"/>
  <c r="S198" i="7"/>
  <c r="S199" i="7"/>
  <c r="S200" i="7"/>
  <c r="S201" i="7"/>
  <c r="S202" i="7"/>
  <c r="S203" i="7"/>
  <c r="S204" i="7"/>
  <c r="S205" i="7"/>
  <c r="S206" i="7"/>
  <c r="S207" i="7"/>
  <c r="S208" i="7"/>
  <c r="S209" i="7"/>
  <c r="S210" i="7"/>
  <c r="S211" i="7"/>
  <c r="S212" i="7"/>
  <c r="S213" i="7"/>
  <c r="S214" i="7"/>
  <c r="S215" i="7"/>
  <c r="S216" i="7"/>
  <c r="S217" i="7"/>
  <c r="S218" i="7"/>
  <c r="S219" i="7"/>
  <c r="S220" i="7"/>
  <c r="S221" i="7"/>
  <c r="S222" i="7"/>
  <c r="S223" i="7"/>
  <c r="S224" i="7"/>
  <c r="S225" i="7"/>
  <c r="S226" i="7"/>
  <c r="S227" i="7"/>
  <c r="S228" i="7"/>
  <c r="S229" i="7"/>
  <c r="S230" i="7"/>
  <c r="S231" i="7"/>
  <c r="S232" i="7"/>
  <c r="S233" i="7"/>
  <c r="S234" i="7"/>
  <c r="S235" i="7"/>
  <c r="S236" i="7"/>
  <c r="S237" i="7"/>
  <c r="S238" i="7"/>
  <c r="S239" i="7"/>
  <c r="S240" i="7"/>
  <c r="S241" i="7"/>
  <c r="S242" i="7"/>
  <c r="S243" i="7"/>
  <c r="S244" i="7"/>
  <c r="S245" i="7"/>
  <c r="S246" i="7"/>
  <c r="S247" i="7"/>
  <c r="S248" i="7"/>
  <c r="S249" i="7"/>
  <c r="S250" i="7"/>
  <c r="S251" i="7"/>
  <c r="S252" i="7"/>
  <c r="S253" i="7"/>
  <c r="S254" i="7"/>
  <c r="S255" i="7"/>
  <c r="S256" i="7"/>
  <c r="S257" i="7"/>
  <c r="S258" i="7"/>
  <c r="S259" i="7"/>
  <c r="S260" i="7"/>
  <c r="S261" i="7"/>
  <c r="S262" i="7"/>
  <c r="S263" i="7"/>
  <c r="S264" i="7"/>
  <c r="S265" i="7"/>
  <c r="S266" i="7"/>
  <c r="S267" i="7"/>
  <c r="S268" i="7"/>
  <c r="S269" i="7"/>
  <c r="S270" i="7"/>
  <c r="S271" i="7"/>
  <c r="S272" i="7"/>
  <c r="S273" i="7"/>
  <c r="S274" i="7"/>
  <c r="S275" i="7"/>
  <c r="S276" i="7"/>
  <c r="S277" i="7"/>
  <c r="S278" i="7"/>
  <c r="S279" i="7"/>
  <c r="S280" i="7"/>
  <c r="S281" i="7"/>
  <c r="S282" i="7"/>
  <c r="S283" i="7"/>
  <c r="S284" i="7"/>
  <c r="S285" i="7"/>
  <c r="S286" i="7"/>
  <c r="S287" i="7"/>
  <c r="S288" i="7"/>
  <c r="S289" i="7"/>
  <c r="S290" i="7"/>
  <c r="S291" i="7"/>
  <c r="S292" i="7"/>
  <c r="S293" i="7"/>
  <c r="S294" i="7"/>
  <c r="S295" i="7"/>
  <c r="S296" i="7"/>
  <c r="S297" i="7"/>
  <c r="S298" i="7"/>
  <c r="S299" i="7"/>
  <c r="S300" i="7"/>
  <c r="S301" i="7"/>
  <c r="S302" i="7"/>
  <c r="S303" i="7"/>
  <c r="S304" i="7"/>
  <c r="S305" i="7"/>
  <c r="S306" i="7"/>
  <c r="S307" i="7"/>
  <c r="S308" i="7"/>
  <c r="S309" i="7"/>
  <c r="S310" i="7"/>
  <c r="S311" i="7"/>
  <c r="S312" i="7"/>
  <c r="S313" i="7"/>
  <c r="S314" i="7"/>
  <c r="S315" i="7"/>
  <c r="S316" i="7"/>
  <c r="S317" i="7"/>
  <c r="S318" i="7"/>
  <c r="S319" i="7"/>
  <c r="S320" i="7"/>
  <c r="S321" i="7"/>
  <c r="S322" i="7"/>
  <c r="S323" i="7"/>
  <c r="S324" i="7"/>
  <c r="S325" i="7"/>
  <c r="S326" i="7"/>
  <c r="S327" i="7"/>
  <c r="S328" i="7"/>
  <c r="S329" i="7"/>
  <c r="S330" i="7"/>
  <c r="S331" i="7"/>
  <c r="S332" i="7"/>
  <c r="S333" i="7"/>
  <c r="S334" i="7"/>
  <c r="S335" i="7"/>
  <c r="S336" i="7"/>
  <c r="S337" i="7"/>
  <c r="S338" i="7"/>
  <c r="S339" i="7"/>
  <c r="S340" i="7"/>
  <c r="S341" i="7"/>
  <c r="S342" i="7"/>
  <c r="S343" i="7"/>
  <c r="S344" i="7"/>
  <c r="S345" i="7"/>
  <c r="S346" i="7"/>
  <c r="S347" i="7"/>
  <c r="S348" i="7"/>
  <c r="S349" i="7"/>
  <c r="S350" i="7"/>
  <c r="S351" i="7"/>
  <c r="S352" i="7"/>
  <c r="S353" i="7"/>
  <c r="S354" i="7"/>
  <c r="S355" i="7"/>
  <c r="S356" i="7"/>
  <c r="S357" i="7"/>
  <c r="S358" i="7"/>
  <c r="S359" i="7"/>
  <c r="S360" i="7"/>
  <c r="S361" i="7"/>
  <c r="S362" i="7"/>
  <c r="S363" i="7"/>
  <c r="S364" i="7"/>
  <c r="S365" i="7"/>
  <c r="S366" i="7"/>
  <c r="S367" i="7"/>
  <c r="S368" i="7"/>
  <c r="S369" i="7"/>
  <c r="S370" i="7"/>
  <c r="S371" i="7"/>
  <c r="S372" i="7"/>
  <c r="S373" i="7"/>
  <c r="S374" i="7"/>
  <c r="S375" i="7"/>
  <c r="S376" i="7"/>
  <c r="S377" i="7"/>
  <c r="S378" i="7"/>
  <c r="S379" i="7"/>
  <c r="S380" i="7"/>
  <c r="S381" i="7"/>
  <c r="S382" i="7"/>
  <c r="S383" i="7"/>
  <c r="S384" i="7"/>
  <c r="S385" i="7"/>
  <c r="S386" i="7"/>
  <c r="S387" i="7"/>
  <c r="S388" i="7"/>
  <c r="S389" i="7"/>
  <c r="S390" i="7"/>
  <c r="S391" i="7"/>
  <c r="S392" i="7"/>
  <c r="S393" i="7"/>
  <c r="S394" i="7"/>
  <c r="S395" i="7"/>
  <c r="S396" i="7"/>
  <c r="S397" i="7"/>
  <c r="S398" i="7"/>
  <c r="S399" i="7"/>
  <c r="S400" i="7"/>
  <c r="S401" i="7"/>
  <c r="S402" i="7"/>
  <c r="S403" i="7"/>
  <c r="S404" i="7"/>
  <c r="S405" i="7"/>
  <c r="S406" i="7"/>
  <c r="S407" i="7"/>
  <c r="S408" i="7"/>
  <c r="S409" i="7"/>
  <c r="S410" i="7"/>
  <c r="S411" i="7"/>
  <c r="S412" i="7"/>
  <c r="S413" i="7"/>
  <c r="S414" i="7"/>
  <c r="S415" i="7"/>
  <c r="S416" i="7"/>
  <c r="S417" i="7"/>
  <c r="S418" i="7"/>
  <c r="S419" i="7"/>
  <c r="S420" i="7"/>
  <c r="S421" i="7"/>
  <c r="S422" i="7"/>
  <c r="S423" i="7"/>
  <c r="S424" i="7"/>
  <c r="S425" i="7"/>
  <c r="S426" i="7"/>
  <c r="S427" i="7"/>
  <c r="S428" i="7"/>
  <c r="S429" i="7"/>
  <c r="S430" i="7"/>
  <c r="S431" i="7"/>
  <c r="S432" i="7"/>
  <c r="S433" i="7"/>
  <c r="S434" i="7"/>
  <c r="S435" i="7"/>
  <c r="S436" i="7"/>
  <c r="S437" i="7"/>
  <c r="S438" i="7"/>
  <c r="S439" i="7"/>
  <c r="S440" i="7"/>
  <c r="S441" i="7"/>
  <c r="S442" i="7"/>
  <c r="S443" i="7"/>
  <c r="S444" i="7"/>
  <c r="S445" i="7"/>
  <c r="S446" i="7"/>
  <c r="S447" i="7"/>
  <c r="S448" i="7"/>
  <c r="S449" i="7"/>
  <c r="S450" i="7"/>
  <c r="S451" i="7"/>
  <c r="S452" i="7"/>
  <c r="S453" i="7"/>
  <c r="S454" i="7"/>
  <c r="S455" i="7"/>
  <c r="S456" i="7"/>
  <c r="S457" i="7"/>
  <c r="S458" i="7"/>
  <c r="S459" i="7"/>
  <c r="S460" i="7"/>
  <c r="S461" i="7"/>
  <c r="S462" i="7"/>
  <c r="S463" i="7"/>
  <c r="S464" i="7"/>
  <c r="S465" i="7"/>
  <c r="S466" i="7"/>
  <c r="S467" i="7"/>
  <c r="S468" i="7"/>
  <c r="S469" i="7"/>
  <c r="S470" i="7"/>
  <c r="S471" i="7"/>
  <c r="S472" i="7"/>
  <c r="S473" i="7"/>
  <c r="S474" i="7"/>
  <c r="S475" i="7"/>
  <c r="S476" i="7"/>
  <c r="S477" i="7"/>
  <c r="S478" i="7"/>
  <c r="S479" i="7"/>
  <c r="S480" i="7"/>
  <c r="S481" i="7"/>
  <c r="S482" i="7"/>
  <c r="S483" i="7"/>
  <c r="S484" i="7"/>
  <c r="S485" i="7"/>
  <c r="S486" i="7"/>
  <c r="S487" i="7"/>
  <c r="S488" i="7"/>
  <c r="S489" i="7"/>
  <c r="S490" i="7"/>
  <c r="S491" i="7"/>
  <c r="S492" i="7"/>
  <c r="S493" i="7"/>
  <c r="S494" i="7"/>
  <c r="S495" i="7"/>
  <c r="S496" i="7"/>
  <c r="S497" i="7"/>
  <c r="S498" i="7"/>
  <c r="S499" i="7"/>
  <c r="S500" i="7"/>
  <c r="S501" i="7"/>
  <c r="S502" i="7"/>
  <c r="S503" i="7"/>
  <c r="S504" i="7"/>
  <c r="S505" i="7"/>
  <c r="S506" i="7"/>
  <c r="S507" i="7"/>
  <c r="S508" i="7"/>
  <c r="S509" i="7"/>
  <c r="S510" i="7"/>
  <c r="S511" i="7"/>
  <c r="S512" i="7"/>
  <c r="S513" i="7"/>
  <c r="S514" i="7"/>
  <c r="S515" i="7"/>
  <c r="S516" i="7"/>
  <c r="S517" i="7"/>
  <c r="S518" i="7"/>
  <c r="S519" i="7"/>
  <c r="S520" i="7"/>
  <c r="S521" i="7"/>
  <c r="S522" i="7"/>
  <c r="S523" i="7"/>
  <c r="S524" i="7"/>
  <c r="S525" i="7"/>
  <c r="S526" i="7"/>
  <c r="S527" i="7"/>
  <c r="S528" i="7"/>
  <c r="S529" i="7"/>
  <c r="S530" i="7"/>
  <c r="S531" i="7"/>
  <c r="S532" i="7"/>
  <c r="S533" i="7"/>
  <c r="S534" i="7"/>
  <c r="S535" i="7"/>
  <c r="S536" i="7"/>
  <c r="S537" i="7"/>
  <c r="S538" i="7"/>
  <c r="S539" i="7"/>
  <c r="S540" i="7"/>
  <c r="S541" i="7"/>
  <c r="S542" i="7"/>
  <c r="S543" i="7"/>
  <c r="S544" i="7"/>
  <c r="S545" i="7"/>
  <c r="S546" i="7"/>
  <c r="S547" i="7"/>
  <c r="S548" i="7"/>
  <c r="S549" i="7"/>
  <c r="S550" i="7"/>
  <c r="S551" i="7"/>
  <c r="S552" i="7"/>
  <c r="S553" i="7"/>
  <c r="S554" i="7"/>
  <c r="S555" i="7"/>
  <c r="S556" i="7"/>
  <c r="S557" i="7"/>
  <c r="S558" i="7"/>
  <c r="S559" i="7"/>
  <c r="S560" i="7"/>
  <c r="S561" i="7"/>
  <c r="S562" i="7"/>
  <c r="S563" i="7"/>
  <c r="S564" i="7"/>
  <c r="S565" i="7"/>
  <c r="S566" i="7"/>
  <c r="S567" i="7"/>
  <c r="S568" i="7"/>
  <c r="S569" i="7"/>
  <c r="S570" i="7"/>
  <c r="S571" i="7"/>
  <c r="S572" i="7"/>
  <c r="S573" i="7"/>
  <c r="S574" i="7"/>
  <c r="S575" i="7"/>
  <c r="S576" i="7"/>
  <c r="S577" i="7"/>
  <c r="S578" i="7"/>
  <c r="S579" i="7"/>
  <c r="S580" i="7"/>
  <c r="S581" i="7"/>
  <c r="S582" i="7"/>
  <c r="S583" i="7"/>
  <c r="S584" i="7"/>
  <c r="S585" i="7"/>
  <c r="S586" i="7"/>
  <c r="S587" i="7"/>
  <c r="S588" i="7"/>
  <c r="S589" i="7"/>
  <c r="S590" i="7"/>
  <c r="S591" i="7"/>
  <c r="S592" i="7"/>
  <c r="S593" i="7"/>
  <c r="S594" i="7"/>
  <c r="S595" i="7"/>
  <c r="S596" i="7"/>
  <c r="S597" i="7"/>
  <c r="S598" i="7"/>
  <c r="S599" i="7"/>
  <c r="S600" i="7"/>
  <c r="S601" i="7"/>
  <c r="S602" i="7"/>
  <c r="S603" i="7"/>
  <c r="S604" i="7"/>
  <c r="S605" i="7"/>
  <c r="S606" i="7"/>
  <c r="S607" i="7"/>
  <c r="S608" i="7"/>
  <c r="S609" i="7"/>
  <c r="S610" i="7"/>
  <c r="S611" i="7"/>
  <c r="S612" i="7"/>
  <c r="S613" i="7"/>
  <c r="S614" i="7"/>
  <c r="S615" i="7"/>
  <c r="S616" i="7"/>
  <c r="S617" i="7"/>
  <c r="S618" i="7"/>
  <c r="S619" i="7"/>
  <c r="S620" i="7"/>
  <c r="S621" i="7"/>
  <c r="S622" i="7"/>
  <c r="S623" i="7"/>
  <c r="S624" i="7"/>
  <c r="S625" i="7"/>
  <c r="S626" i="7"/>
  <c r="S627" i="7"/>
  <c r="S628" i="7"/>
  <c r="S629" i="7"/>
  <c r="S630" i="7"/>
  <c r="S631" i="7"/>
  <c r="S632" i="7"/>
  <c r="S633" i="7"/>
  <c r="S634" i="7"/>
  <c r="S635" i="7"/>
  <c r="S636" i="7"/>
  <c r="S637" i="7"/>
  <c r="S638" i="7"/>
  <c r="S639" i="7"/>
  <c r="S640" i="7"/>
  <c r="S641" i="7"/>
  <c r="S642" i="7"/>
  <c r="S643" i="7"/>
  <c r="S644" i="7"/>
  <c r="S645" i="7"/>
  <c r="S646" i="7"/>
  <c r="S647" i="7"/>
  <c r="S648" i="7"/>
  <c r="S649" i="7"/>
  <c r="S650" i="7"/>
  <c r="S651" i="7"/>
  <c r="S652" i="7"/>
  <c r="S653" i="7"/>
  <c r="S654" i="7"/>
  <c r="S655" i="7"/>
  <c r="S656" i="7"/>
  <c r="S657" i="7"/>
  <c r="S658" i="7"/>
  <c r="S659" i="7"/>
  <c r="S660" i="7"/>
  <c r="S661" i="7"/>
  <c r="S662" i="7"/>
  <c r="S663" i="7"/>
  <c r="S664" i="7"/>
  <c r="S665" i="7"/>
  <c r="S666" i="7"/>
  <c r="S667" i="7"/>
  <c r="S668" i="7"/>
  <c r="S669" i="7"/>
  <c r="S670" i="7"/>
  <c r="S671" i="7"/>
  <c r="S672" i="7"/>
  <c r="S673" i="7"/>
  <c r="S674" i="7"/>
  <c r="S675" i="7"/>
  <c r="S676" i="7"/>
  <c r="S677" i="7"/>
  <c r="S678" i="7"/>
  <c r="S679" i="7"/>
  <c r="S680" i="7"/>
  <c r="S681" i="7"/>
  <c r="S682" i="7"/>
  <c r="S683" i="7"/>
  <c r="S684" i="7"/>
  <c r="S685" i="7"/>
  <c r="S686" i="7"/>
  <c r="S687" i="7"/>
  <c r="S688" i="7"/>
  <c r="S689" i="7"/>
  <c r="S690" i="7"/>
  <c r="S691" i="7"/>
  <c r="S692" i="7"/>
  <c r="S693" i="7"/>
  <c r="S694" i="7"/>
  <c r="S695" i="7"/>
  <c r="S696" i="7"/>
  <c r="S697" i="7"/>
  <c r="S698" i="7"/>
  <c r="S699" i="7"/>
  <c r="S700" i="7"/>
  <c r="S701" i="7"/>
  <c r="Q2" i="7"/>
  <c r="R2" i="7" s="1"/>
  <c r="Q3" i="7"/>
  <c r="R3" i="7" s="1"/>
  <c r="T3" i="7" s="1"/>
  <c r="Q4" i="7"/>
  <c r="R4" i="7" s="1"/>
  <c r="T4" i="7" s="1"/>
  <c r="Q5" i="7"/>
  <c r="R5" i="7" s="1"/>
  <c r="T5" i="7" s="1"/>
  <c r="Q6" i="7"/>
  <c r="R6" i="7" s="1"/>
  <c r="T6" i="7" s="1"/>
  <c r="Q7" i="7"/>
  <c r="R7" i="7" s="1"/>
  <c r="Q8" i="7"/>
  <c r="R8" i="7" s="1"/>
  <c r="Q9" i="7"/>
  <c r="Q10" i="7"/>
  <c r="R10" i="7" s="1"/>
  <c r="T10" i="7" s="1"/>
  <c r="Q11" i="7"/>
  <c r="R11" i="7" s="1"/>
  <c r="T11" i="7" s="1"/>
  <c r="Q12" i="7"/>
  <c r="R12" i="7" s="1"/>
  <c r="Q13" i="7"/>
  <c r="R13" i="7" s="1"/>
  <c r="Q14" i="7"/>
  <c r="R14" i="7" s="1"/>
  <c r="T14" i="7" s="1"/>
  <c r="Q15" i="7"/>
  <c r="R15" i="7" s="1"/>
  <c r="T15" i="7" s="1"/>
  <c r="Q16" i="7"/>
  <c r="R16" i="7" s="1"/>
  <c r="T16" i="7" s="1"/>
  <c r="Q17" i="7"/>
  <c r="R17" i="7" s="1"/>
  <c r="T17" i="7" s="1"/>
  <c r="Q18" i="7"/>
  <c r="R18" i="7" s="1"/>
  <c r="T18" i="7" s="1"/>
  <c r="Q19" i="7"/>
  <c r="R19" i="7" s="1"/>
  <c r="Q20" i="7"/>
  <c r="R20" i="7" s="1"/>
  <c r="Q21" i="7"/>
  <c r="Q22" i="7"/>
  <c r="R22" i="7" s="1"/>
  <c r="T22" i="7" s="1"/>
  <c r="Q23" i="7"/>
  <c r="R23" i="7" s="1"/>
  <c r="T23" i="7" s="1"/>
  <c r="Q24" i="7"/>
  <c r="R24" i="7" s="1"/>
  <c r="Q25" i="7"/>
  <c r="R25" i="7" s="1"/>
  <c r="Q26" i="7"/>
  <c r="R26" i="7" s="1"/>
  <c r="T26" i="7" s="1"/>
  <c r="Q27" i="7"/>
  <c r="R27" i="7" s="1"/>
  <c r="T27" i="7" s="1"/>
  <c r="Q28" i="7"/>
  <c r="R28" i="7" s="1"/>
  <c r="T28" i="7" s="1"/>
  <c r="Q29" i="7"/>
  <c r="R29" i="7" s="1"/>
  <c r="T29" i="7" s="1"/>
  <c r="Q30" i="7"/>
  <c r="R30" i="7" s="1"/>
  <c r="T30" i="7" s="1"/>
  <c r="Q31" i="7"/>
  <c r="R31" i="7" s="1"/>
  <c r="Q32" i="7"/>
  <c r="R32" i="7" s="1"/>
  <c r="Q33" i="7"/>
  <c r="Q34" i="7"/>
  <c r="R34" i="7" s="1"/>
  <c r="T34" i="7" s="1"/>
  <c r="Q35" i="7"/>
  <c r="R35" i="7" s="1"/>
  <c r="T35" i="7" s="1"/>
  <c r="Q36" i="7"/>
  <c r="R36" i="7" s="1"/>
  <c r="Q37" i="7"/>
  <c r="R37" i="7" s="1"/>
  <c r="Q38" i="7"/>
  <c r="R38" i="7" s="1"/>
  <c r="T38" i="7" s="1"/>
  <c r="Q39" i="7"/>
  <c r="R39" i="7" s="1"/>
  <c r="T39" i="7" s="1"/>
  <c r="Q40" i="7"/>
  <c r="R40" i="7" s="1"/>
  <c r="T40" i="7" s="1"/>
  <c r="Q41" i="7"/>
  <c r="R41" i="7" s="1"/>
  <c r="T41" i="7" s="1"/>
  <c r="Q42" i="7"/>
  <c r="R42" i="7" s="1"/>
  <c r="T42" i="7" s="1"/>
  <c r="Q43" i="7"/>
  <c r="R43" i="7" s="1"/>
  <c r="T43" i="7" s="1"/>
  <c r="Q44" i="7"/>
  <c r="R44" i="7" s="1"/>
  <c r="Q45" i="7"/>
  <c r="Q46" i="7"/>
  <c r="R46" i="7" s="1"/>
  <c r="T46" i="7" s="1"/>
  <c r="Q47" i="7"/>
  <c r="R47" i="7" s="1"/>
  <c r="T47" i="7" s="1"/>
  <c r="Q48" i="7"/>
  <c r="R48" i="7" s="1"/>
  <c r="Q49" i="7"/>
  <c r="R49" i="7" s="1"/>
  <c r="Q50" i="7"/>
  <c r="R50" i="7" s="1"/>
  <c r="T50" i="7" s="1"/>
  <c r="Q51" i="7"/>
  <c r="R51" i="7" s="1"/>
  <c r="T51" i="7" s="1"/>
  <c r="Q52" i="7"/>
  <c r="R52" i="7" s="1"/>
  <c r="T52" i="7" s="1"/>
  <c r="Q53" i="7"/>
  <c r="R53" i="7" s="1"/>
  <c r="T53" i="7" s="1"/>
  <c r="Q54" i="7"/>
  <c r="R54" i="7" s="1"/>
  <c r="T54" i="7" s="1"/>
  <c r="Q55" i="7"/>
  <c r="R55" i="7" s="1"/>
  <c r="T55" i="7" s="1"/>
  <c r="Q56" i="7"/>
  <c r="R56" i="7" s="1"/>
  <c r="Q57" i="7"/>
  <c r="Q58" i="7"/>
  <c r="R58" i="7" s="1"/>
  <c r="T58" i="7" s="1"/>
  <c r="Q59" i="7"/>
  <c r="R59" i="7" s="1"/>
  <c r="T59" i="7" s="1"/>
  <c r="Q60" i="7"/>
  <c r="R60" i="7" s="1"/>
  <c r="Q61" i="7"/>
  <c r="R61" i="7" s="1"/>
  <c r="Q62" i="7"/>
  <c r="R62" i="7" s="1"/>
  <c r="T62" i="7" s="1"/>
  <c r="Q63" i="7"/>
  <c r="R63" i="7" s="1"/>
  <c r="T63" i="7" s="1"/>
  <c r="Q64" i="7"/>
  <c r="R64" i="7" s="1"/>
  <c r="T64" i="7" s="1"/>
  <c r="Q65" i="7"/>
  <c r="R65" i="7" s="1"/>
  <c r="T65" i="7" s="1"/>
  <c r="Q66" i="7"/>
  <c r="R66" i="7" s="1"/>
  <c r="T66" i="7" s="1"/>
  <c r="Q67" i="7"/>
  <c r="R67" i="7" s="1"/>
  <c r="T67" i="7" s="1"/>
  <c r="Q68" i="7"/>
  <c r="R68" i="7" s="1"/>
  <c r="Q69" i="7"/>
  <c r="Q70" i="7"/>
  <c r="R70" i="7" s="1"/>
  <c r="T70" i="7" s="1"/>
  <c r="Q71" i="7"/>
  <c r="R71" i="7" s="1"/>
  <c r="T71" i="7" s="1"/>
  <c r="Q72" i="7"/>
  <c r="R72" i="7" s="1"/>
  <c r="Q73" i="7"/>
  <c r="R73" i="7" s="1"/>
  <c r="Q74" i="7"/>
  <c r="R74" i="7" s="1"/>
  <c r="T74" i="7" s="1"/>
  <c r="Q75" i="7"/>
  <c r="R75" i="7" s="1"/>
  <c r="T75" i="7" s="1"/>
  <c r="Q76" i="7"/>
  <c r="R76" i="7" s="1"/>
  <c r="T76" i="7" s="1"/>
  <c r="Q77" i="7"/>
  <c r="R77" i="7" s="1"/>
  <c r="T77" i="7" s="1"/>
  <c r="Q78" i="7"/>
  <c r="R78" i="7" s="1"/>
  <c r="T78" i="7" s="1"/>
  <c r="Q79" i="7"/>
  <c r="R79" i="7" s="1"/>
  <c r="T79" i="7" s="1"/>
  <c r="Q80" i="7"/>
  <c r="R80" i="7" s="1"/>
  <c r="Q81" i="7"/>
  <c r="Q82" i="7"/>
  <c r="R82" i="7" s="1"/>
  <c r="T82" i="7" s="1"/>
  <c r="Q83" i="7"/>
  <c r="R83" i="7" s="1"/>
  <c r="T83" i="7" s="1"/>
  <c r="Q84" i="7"/>
  <c r="R84" i="7" s="1"/>
  <c r="Q85" i="7"/>
  <c r="R85" i="7" s="1"/>
  <c r="Q86" i="7"/>
  <c r="R86" i="7" s="1"/>
  <c r="T86" i="7" s="1"/>
  <c r="Q87" i="7"/>
  <c r="R87" i="7" s="1"/>
  <c r="T87" i="7" s="1"/>
  <c r="Q88" i="7"/>
  <c r="R88" i="7" s="1"/>
  <c r="T88" i="7" s="1"/>
  <c r="Q89" i="7"/>
  <c r="R89" i="7" s="1"/>
  <c r="T89" i="7" s="1"/>
  <c r="Q90" i="7"/>
  <c r="R90" i="7" s="1"/>
  <c r="T90" i="7" s="1"/>
  <c r="Q91" i="7"/>
  <c r="R91" i="7" s="1"/>
  <c r="T91" i="7" s="1"/>
  <c r="Q92" i="7"/>
  <c r="R92" i="7" s="1"/>
  <c r="Q93" i="7"/>
  <c r="Q94" i="7"/>
  <c r="R94" i="7" s="1"/>
  <c r="T94" i="7" s="1"/>
  <c r="Q95" i="7"/>
  <c r="R95" i="7" s="1"/>
  <c r="T95" i="7" s="1"/>
  <c r="Q96" i="7"/>
  <c r="R96" i="7" s="1"/>
  <c r="Q97" i="7"/>
  <c r="R97" i="7" s="1"/>
  <c r="Q98" i="7"/>
  <c r="R98" i="7" s="1"/>
  <c r="T98" i="7" s="1"/>
  <c r="Q99" i="7"/>
  <c r="R99" i="7" s="1"/>
  <c r="T99" i="7" s="1"/>
  <c r="Q100" i="7"/>
  <c r="R100" i="7" s="1"/>
  <c r="T100" i="7" s="1"/>
  <c r="Q101" i="7"/>
  <c r="R101" i="7" s="1"/>
  <c r="T101" i="7" s="1"/>
  <c r="Q102" i="7"/>
  <c r="R102" i="7" s="1"/>
  <c r="T102" i="7" s="1"/>
  <c r="Q103" i="7"/>
  <c r="R103" i="7" s="1"/>
  <c r="T103" i="7" s="1"/>
  <c r="Q104" i="7"/>
  <c r="R104" i="7" s="1"/>
  <c r="Q105" i="7"/>
  <c r="Q106" i="7"/>
  <c r="R106" i="7" s="1"/>
  <c r="T106" i="7" s="1"/>
  <c r="Q107" i="7"/>
  <c r="R107" i="7" s="1"/>
  <c r="T107" i="7" s="1"/>
  <c r="Q108" i="7"/>
  <c r="R108" i="7" s="1"/>
  <c r="Q109" i="7"/>
  <c r="R109" i="7" s="1"/>
  <c r="Q110" i="7"/>
  <c r="R110" i="7" s="1"/>
  <c r="T110" i="7" s="1"/>
  <c r="Q111" i="7"/>
  <c r="R111" i="7" s="1"/>
  <c r="T111" i="7" s="1"/>
  <c r="Q112" i="7"/>
  <c r="R112" i="7" s="1"/>
  <c r="T112" i="7" s="1"/>
  <c r="Q113" i="7"/>
  <c r="R113" i="7" s="1"/>
  <c r="T113" i="7" s="1"/>
  <c r="Q114" i="7"/>
  <c r="R114" i="7" s="1"/>
  <c r="T114" i="7" s="1"/>
  <c r="Q115" i="7"/>
  <c r="R115" i="7" s="1"/>
  <c r="T115" i="7" s="1"/>
  <c r="Q116" i="7"/>
  <c r="R116" i="7" s="1"/>
  <c r="Q117" i="7"/>
  <c r="Q118" i="7"/>
  <c r="R118" i="7" s="1"/>
  <c r="T118" i="7" s="1"/>
  <c r="Q119" i="7"/>
  <c r="R119" i="7" s="1"/>
  <c r="T119" i="7" s="1"/>
  <c r="Q120" i="7"/>
  <c r="R120" i="7" s="1"/>
  <c r="Q121" i="7"/>
  <c r="R121" i="7" s="1"/>
  <c r="Q122" i="7"/>
  <c r="R122" i="7" s="1"/>
  <c r="T122" i="7" s="1"/>
  <c r="Q123" i="7"/>
  <c r="R123" i="7" s="1"/>
  <c r="T123" i="7" s="1"/>
  <c r="Q124" i="7"/>
  <c r="R124" i="7" s="1"/>
  <c r="T124" i="7" s="1"/>
  <c r="Q125" i="7"/>
  <c r="R125" i="7" s="1"/>
  <c r="T125" i="7" s="1"/>
  <c r="Q126" i="7"/>
  <c r="R126" i="7" s="1"/>
  <c r="T126" i="7" s="1"/>
  <c r="Q127" i="7"/>
  <c r="R127" i="7" s="1"/>
  <c r="T127" i="7" s="1"/>
  <c r="Q128" i="7"/>
  <c r="R128" i="7" s="1"/>
  <c r="Q129" i="7"/>
  <c r="Q130" i="7"/>
  <c r="R130" i="7" s="1"/>
  <c r="T130" i="7" s="1"/>
  <c r="Q131" i="7"/>
  <c r="R131" i="7" s="1"/>
  <c r="T131" i="7" s="1"/>
  <c r="Q132" i="7"/>
  <c r="R132" i="7" s="1"/>
  <c r="Q133" i="7"/>
  <c r="R133" i="7" s="1"/>
  <c r="Q134" i="7"/>
  <c r="R134" i="7" s="1"/>
  <c r="T134" i="7" s="1"/>
  <c r="Q135" i="7"/>
  <c r="R135" i="7" s="1"/>
  <c r="T135" i="7" s="1"/>
  <c r="Q136" i="7"/>
  <c r="R136" i="7" s="1"/>
  <c r="T136" i="7" s="1"/>
  <c r="Q137" i="7"/>
  <c r="R137" i="7" s="1"/>
  <c r="T137" i="7" s="1"/>
  <c r="Q138" i="7"/>
  <c r="R138" i="7" s="1"/>
  <c r="T138" i="7" s="1"/>
  <c r="Q139" i="7"/>
  <c r="R139" i="7" s="1"/>
  <c r="T139" i="7" s="1"/>
  <c r="Q140" i="7"/>
  <c r="R140" i="7" s="1"/>
  <c r="Q141" i="7"/>
  <c r="Q142" i="7"/>
  <c r="R142" i="7" s="1"/>
  <c r="T142" i="7" s="1"/>
  <c r="Q143" i="7"/>
  <c r="R143" i="7" s="1"/>
  <c r="T143" i="7" s="1"/>
  <c r="Q144" i="7"/>
  <c r="R144" i="7" s="1"/>
  <c r="Q145" i="7"/>
  <c r="R145" i="7" s="1"/>
  <c r="Q146" i="7"/>
  <c r="R146" i="7" s="1"/>
  <c r="T146" i="7" s="1"/>
  <c r="Q147" i="7"/>
  <c r="R147" i="7" s="1"/>
  <c r="T147" i="7" s="1"/>
  <c r="Q148" i="7"/>
  <c r="R148" i="7" s="1"/>
  <c r="T148" i="7" s="1"/>
  <c r="Q149" i="7"/>
  <c r="R149" i="7" s="1"/>
  <c r="T149" i="7" s="1"/>
  <c r="Q150" i="7"/>
  <c r="R150" i="7" s="1"/>
  <c r="T150" i="7" s="1"/>
  <c r="Q151" i="7"/>
  <c r="R151" i="7" s="1"/>
  <c r="T151" i="7" s="1"/>
  <c r="Q152" i="7"/>
  <c r="R152" i="7" s="1"/>
  <c r="Q153" i="7"/>
  <c r="Q154" i="7"/>
  <c r="R154" i="7" s="1"/>
  <c r="T154" i="7" s="1"/>
  <c r="Q155" i="7"/>
  <c r="R155" i="7" s="1"/>
  <c r="T155" i="7" s="1"/>
  <c r="Q156" i="7"/>
  <c r="R156" i="7" s="1"/>
  <c r="Q157" i="7"/>
  <c r="R157" i="7" s="1"/>
  <c r="Q158" i="7"/>
  <c r="R158" i="7" s="1"/>
  <c r="T158" i="7" s="1"/>
  <c r="Q159" i="7"/>
  <c r="R159" i="7" s="1"/>
  <c r="T159" i="7" s="1"/>
  <c r="Q160" i="7"/>
  <c r="R160" i="7" s="1"/>
  <c r="T160" i="7" s="1"/>
  <c r="Q161" i="7"/>
  <c r="R161" i="7" s="1"/>
  <c r="T161" i="7" s="1"/>
  <c r="Q162" i="7"/>
  <c r="R162" i="7" s="1"/>
  <c r="T162" i="7" s="1"/>
  <c r="Q163" i="7"/>
  <c r="R163" i="7" s="1"/>
  <c r="T163" i="7" s="1"/>
  <c r="Q164" i="7"/>
  <c r="R164" i="7" s="1"/>
  <c r="Q165" i="7"/>
  <c r="Q166" i="7"/>
  <c r="R166" i="7" s="1"/>
  <c r="T166" i="7" s="1"/>
  <c r="Q167" i="7"/>
  <c r="R167" i="7" s="1"/>
  <c r="T167" i="7" s="1"/>
  <c r="Q168" i="7"/>
  <c r="R168" i="7" s="1"/>
  <c r="Q169" i="7"/>
  <c r="R169" i="7" s="1"/>
  <c r="Q170" i="7"/>
  <c r="R170" i="7" s="1"/>
  <c r="T170" i="7" s="1"/>
  <c r="Q171" i="7"/>
  <c r="R171" i="7" s="1"/>
  <c r="T171" i="7" s="1"/>
  <c r="Q172" i="7"/>
  <c r="R172" i="7" s="1"/>
  <c r="T172" i="7" s="1"/>
  <c r="Q173" i="7"/>
  <c r="R173" i="7" s="1"/>
  <c r="T173" i="7" s="1"/>
  <c r="Q174" i="7"/>
  <c r="R174" i="7" s="1"/>
  <c r="T174" i="7" s="1"/>
  <c r="Q175" i="7"/>
  <c r="R175" i="7" s="1"/>
  <c r="T175" i="7" s="1"/>
  <c r="Q176" i="7"/>
  <c r="R176" i="7" s="1"/>
  <c r="Q177" i="7"/>
  <c r="Q178" i="7"/>
  <c r="R178" i="7" s="1"/>
  <c r="T178" i="7" s="1"/>
  <c r="Q179" i="7"/>
  <c r="R179" i="7" s="1"/>
  <c r="T179" i="7" s="1"/>
  <c r="Q180" i="7"/>
  <c r="R180" i="7" s="1"/>
  <c r="Q181" i="7"/>
  <c r="R181" i="7" s="1"/>
  <c r="Q182" i="7"/>
  <c r="R182" i="7" s="1"/>
  <c r="T182" i="7" s="1"/>
  <c r="Q183" i="7"/>
  <c r="R183" i="7" s="1"/>
  <c r="T183" i="7" s="1"/>
  <c r="Q184" i="7"/>
  <c r="R184" i="7" s="1"/>
  <c r="T184" i="7" s="1"/>
  <c r="Q185" i="7"/>
  <c r="R185" i="7" s="1"/>
  <c r="T185" i="7" s="1"/>
  <c r="Q186" i="7"/>
  <c r="R186" i="7" s="1"/>
  <c r="T186" i="7" s="1"/>
  <c r="Q187" i="7"/>
  <c r="R187" i="7" s="1"/>
  <c r="T187" i="7" s="1"/>
  <c r="Q188" i="7"/>
  <c r="R188" i="7" s="1"/>
  <c r="Q189" i="7"/>
  <c r="Q190" i="7"/>
  <c r="R190" i="7" s="1"/>
  <c r="T190" i="7" s="1"/>
  <c r="Q191" i="7"/>
  <c r="R191" i="7" s="1"/>
  <c r="T191" i="7" s="1"/>
  <c r="Q192" i="7"/>
  <c r="R192" i="7" s="1"/>
  <c r="Q193" i="7"/>
  <c r="R193" i="7" s="1"/>
  <c r="Q194" i="7"/>
  <c r="R194" i="7" s="1"/>
  <c r="T194" i="7" s="1"/>
  <c r="Q195" i="7"/>
  <c r="R195" i="7" s="1"/>
  <c r="T195" i="7" s="1"/>
  <c r="Q196" i="7"/>
  <c r="R196" i="7" s="1"/>
  <c r="T196" i="7" s="1"/>
  <c r="Q197" i="7"/>
  <c r="R197" i="7" s="1"/>
  <c r="T197" i="7" s="1"/>
  <c r="Q198" i="7"/>
  <c r="R198" i="7" s="1"/>
  <c r="T198" i="7" s="1"/>
  <c r="Q199" i="7"/>
  <c r="R199" i="7" s="1"/>
  <c r="T199" i="7" s="1"/>
  <c r="Q200" i="7"/>
  <c r="R200" i="7" s="1"/>
  <c r="Q201" i="7"/>
  <c r="Q202" i="7"/>
  <c r="R202" i="7" s="1"/>
  <c r="T202" i="7" s="1"/>
  <c r="Q203" i="7"/>
  <c r="R203" i="7" s="1"/>
  <c r="T203" i="7" s="1"/>
  <c r="Q204" i="7"/>
  <c r="R204" i="7" s="1"/>
  <c r="Q205" i="7"/>
  <c r="R205" i="7" s="1"/>
  <c r="Q206" i="7"/>
  <c r="R206" i="7" s="1"/>
  <c r="T206" i="7" s="1"/>
  <c r="Q207" i="7"/>
  <c r="R207" i="7" s="1"/>
  <c r="T207" i="7" s="1"/>
  <c r="Q208" i="7"/>
  <c r="R208" i="7" s="1"/>
  <c r="T208" i="7" s="1"/>
  <c r="Q209" i="7"/>
  <c r="R209" i="7" s="1"/>
  <c r="T209" i="7" s="1"/>
  <c r="Q210" i="7"/>
  <c r="R210" i="7" s="1"/>
  <c r="T210" i="7" s="1"/>
  <c r="Q211" i="7"/>
  <c r="R211" i="7" s="1"/>
  <c r="T211" i="7" s="1"/>
  <c r="Q212" i="7"/>
  <c r="R212" i="7" s="1"/>
  <c r="Q213" i="7"/>
  <c r="Q214" i="7"/>
  <c r="R214" i="7" s="1"/>
  <c r="T214" i="7" s="1"/>
  <c r="Q215" i="7"/>
  <c r="R215" i="7" s="1"/>
  <c r="T215" i="7" s="1"/>
  <c r="Q216" i="7"/>
  <c r="R216" i="7" s="1"/>
  <c r="Q217" i="7"/>
  <c r="R217" i="7" s="1"/>
  <c r="Q218" i="7"/>
  <c r="R218" i="7" s="1"/>
  <c r="T218" i="7" s="1"/>
  <c r="Q219" i="7"/>
  <c r="R219" i="7" s="1"/>
  <c r="T219" i="7" s="1"/>
  <c r="Q220" i="7"/>
  <c r="R220" i="7" s="1"/>
  <c r="T220" i="7" s="1"/>
  <c r="Q221" i="7"/>
  <c r="R221" i="7" s="1"/>
  <c r="T221" i="7" s="1"/>
  <c r="Q222" i="7"/>
  <c r="R222" i="7" s="1"/>
  <c r="T222" i="7" s="1"/>
  <c r="Q223" i="7"/>
  <c r="R223" i="7" s="1"/>
  <c r="T223" i="7" s="1"/>
  <c r="Q224" i="7"/>
  <c r="R224" i="7" s="1"/>
  <c r="Q225" i="7"/>
  <c r="Q226" i="7"/>
  <c r="R226" i="7" s="1"/>
  <c r="T226" i="7" s="1"/>
  <c r="Q227" i="7"/>
  <c r="R227" i="7" s="1"/>
  <c r="T227" i="7" s="1"/>
  <c r="Q228" i="7"/>
  <c r="R228" i="7" s="1"/>
  <c r="Q229" i="7"/>
  <c r="R229" i="7" s="1"/>
  <c r="Q230" i="7"/>
  <c r="R230" i="7" s="1"/>
  <c r="T230" i="7" s="1"/>
  <c r="Q231" i="7"/>
  <c r="R231" i="7" s="1"/>
  <c r="T231" i="7" s="1"/>
  <c r="Q232" i="7"/>
  <c r="R232" i="7" s="1"/>
  <c r="T232" i="7" s="1"/>
  <c r="Q233" i="7"/>
  <c r="R233" i="7" s="1"/>
  <c r="T233" i="7" s="1"/>
  <c r="Q234" i="7"/>
  <c r="R234" i="7" s="1"/>
  <c r="T234" i="7" s="1"/>
  <c r="Q235" i="7"/>
  <c r="R235" i="7" s="1"/>
  <c r="T235" i="7" s="1"/>
  <c r="Q236" i="7"/>
  <c r="R236" i="7" s="1"/>
  <c r="Q237" i="7"/>
  <c r="Q238" i="7"/>
  <c r="R238" i="7" s="1"/>
  <c r="T238" i="7" s="1"/>
  <c r="Q239" i="7"/>
  <c r="R239" i="7" s="1"/>
  <c r="T239" i="7" s="1"/>
  <c r="Q240" i="7"/>
  <c r="R240" i="7" s="1"/>
  <c r="Q241" i="7"/>
  <c r="R241" i="7" s="1"/>
  <c r="Q242" i="7"/>
  <c r="R242" i="7" s="1"/>
  <c r="T242" i="7" s="1"/>
  <c r="Q243" i="7"/>
  <c r="R243" i="7" s="1"/>
  <c r="T243" i="7" s="1"/>
  <c r="Q244" i="7"/>
  <c r="R244" i="7" s="1"/>
  <c r="T244" i="7" s="1"/>
  <c r="Q245" i="7"/>
  <c r="R245" i="7" s="1"/>
  <c r="T245" i="7" s="1"/>
  <c r="Q246" i="7"/>
  <c r="R246" i="7" s="1"/>
  <c r="T246" i="7" s="1"/>
  <c r="Q247" i="7"/>
  <c r="R247" i="7" s="1"/>
  <c r="T247" i="7" s="1"/>
  <c r="Q248" i="7"/>
  <c r="R248" i="7" s="1"/>
  <c r="Q249" i="7"/>
  <c r="Q250" i="7"/>
  <c r="R250" i="7" s="1"/>
  <c r="T250" i="7" s="1"/>
  <c r="Q251" i="7"/>
  <c r="R251" i="7" s="1"/>
  <c r="T251" i="7" s="1"/>
  <c r="Q252" i="7"/>
  <c r="R252" i="7" s="1"/>
  <c r="Q253" i="7"/>
  <c r="R253" i="7" s="1"/>
  <c r="Q254" i="7"/>
  <c r="R254" i="7" s="1"/>
  <c r="T254" i="7" s="1"/>
  <c r="Q255" i="7"/>
  <c r="R255" i="7" s="1"/>
  <c r="T255" i="7" s="1"/>
  <c r="Q256" i="7"/>
  <c r="R256" i="7" s="1"/>
  <c r="T256" i="7" s="1"/>
  <c r="Q257" i="7"/>
  <c r="R257" i="7" s="1"/>
  <c r="T257" i="7" s="1"/>
  <c r="Q258" i="7"/>
  <c r="R258" i="7" s="1"/>
  <c r="T258" i="7" s="1"/>
  <c r="Q259" i="7"/>
  <c r="R259" i="7" s="1"/>
  <c r="T259" i="7" s="1"/>
  <c r="Q260" i="7"/>
  <c r="R260" i="7" s="1"/>
  <c r="Q261" i="7"/>
  <c r="Q262" i="7"/>
  <c r="R262" i="7" s="1"/>
  <c r="T262" i="7" s="1"/>
  <c r="Q263" i="7"/>
  <c r="R263" i="7" s="1"/>
  <c r="T263" i="7" s="1"/>
  <c r="Q264" i="7"/>
  <c r="R264" i="7" s="1"/>
  <c r="Q265" i="7"/>
  <c r="R265" i="7" s="1"/>
  <c r="Q266" i="7"/>
  <c r="R266" i="7" s="1"/>
  <c r="T266" i="7" s="1"/>
  <c r="Q267" i="7"/>
  <c r="R267" i="7" s="1"/>
  <c r="T267" i="7" s="1"/>
  <c r="Q268" i="7"/>
  <c r="R268" i="7" s="1"/>
  <c r="T268" i="7" s="1"/>
  <c r="Q269" i="7"/>
  <c r="R269" i="7" s="1"/>
  <c r="T269" i="7" s="1"/>
  <c r="Q270" i="7"/>
  <c r="R270" i="7" s="1"/>
  <c r="T270" i="7" s="1"/>
  <c r="Q271" i="7"/>
  <c r="R271" i="7" s="1"/>
  <c r="T271" i="7" s="1"/>
  <c r="Q272" i="7"/>
  <c r="R272" i="7" s="1"/>
  <c r="Q273" i="7"/>
  <c r="Q274" i="7"/>
  <c r="R274" i="7" s="1"/>
  <c r="T274" i="7" s="1"/>
  <c r="Q275" i="7"/>
  <c r="R275" i="7" s="1"/>
  <c r="T275" i="7" s="1"/>
  <c r="Q276" i="7"/>
  <c r="R276" i="7" s="1"/>
  <c r="Q277" i="7"/>
  <c r="R277" i="7" s="1"/>
  <c r="Q278" i="7"/>
  <c r="R278" i="7" s="1"/>
  <c r="T278" i="7" s="1"/>
  <c r="Q279" i="7"/>
  <c r="R279" i="7" s="1"/>
  <c r="T279" i="7" s="1"/>
  <c r="Q280" i="7"/>
  <c r="R280" i="7" s="1"/>
  <c r="T280" i="7" s="1"/>
  <c r="Q281" i="7"/>
  <c r="R281" i="7" s="1"/>
  <c r="T281" i="7" s="1"/>
  <c r="Q282" i="7"/>
  <c r="R282" i="7" s="1"/>
  <c r="T282" i="7" s="1"/>
  <c r="Q283" i="7"/>
  <c r="R283" i="7" s="1"/>
  <c r="T283" i="7" s="1"/>
  <c r="Q284" i="7"/>
  <c r="R284" i="7" s="1"/>
  <c r="Q285" i="7"/>
  <c r="Q286" i="7"/>
  <c r="R286" i="7" s="1"/>
  <c r="T286" i="7" s="1"/>
  <c r="Q287" i="7"/>
  <c r="R287" i="7" s="1"/>
  <c r="T287" i="7" s="1"/>
  <c r="Q288" i="7"/>
  <c r="R288" i="7" s="1"/>
  <c r="Q289" i="7"/>
  <c r="R289" i="7" s="1"/>
  <c r="Q290" i="7"/>
  <c r="R290" i="7" s="1"/>
  <c r="T290" i="7" s="1"/>
  <c r="Q291" i="7"/>
  <c r="R291" i="7" s="1"/>
  <c r="T291" i="7" s="1"/>
  <c r="Q292" i="7"/>
  <c r="R292" i="7" s="1"/>
  <c r="T292" i="7" s="1"/>
  <c r="Q293" i="7"/>
  <c r="R293" i="7" s="1"/>
  <c r="T293" i="7" s="1"/>
  <c r="Q294" i="7"/>
  <c r="R294" i="7" s="1"/>
  <c r="T294" i="7" s="1"/>
  <c r="Q295" i="7"/>
  <c r="R295" i="7" s="1"/>
  <c r="T295" i="7" s="1"/>
  <c r="Q296" i="7"/>
  <c r="R296" i="7" s="1"/>
  <c r="Q297" i="7"/>
  <c r="Q298" i="7"/>
  <c r="R298" i="7" s="1"/>
  <c r="T298" i="7" s="1"/>
  <c r="Q299" i="7"/>
  <c r="R299" i="7" s="1"/>
  <c r="T299" i="7" s="1"/>
  <c r="Q300" i="7"/>
  <c r="R300" i="7" s="1"/>
  <c r="Q301" i="7"/>
  <c r="R301" i="7" s="1"/>
  <c r="Q302" i="7"/>
  <c r="R302" i="7" s="1"/>
  <c r="T302" i="7" s="1"/>
  <c r="Q303" i="7"/>
  <c r="R303" i="7" s="1"/>
  <c r="T303" i="7" s="1"/>
  <c r="Q304" i="7"/>
  <c r="R304" i="7" s="1"/>
  <c r="T304" i="7" s="1"/>
  <c r="Q305" i="7"/>
  <c r="R305" i="7" s="1"/>
  <c r="T305" i="7" s="1"/>
  <c r="Q306" i="7"/>
  <c r="R306" i="7" s="1"/>
  <c r="T306" i="7" s="1"/>
  <c r="Q307" i="7"/>
  <c r="R307" i="7" s="1"/>
  <c r="T307" i="7" s="1"/>
  <c r="Q308" i="7"/>
  <c r="R308" i="7" s="1"/>
  <c r="T308" i="7" s="1"/>
  <c r="Q309" i="7"/>
  <c r="Q310" i="7"/>
  <c r="R310" i="7" s="1"/>
  <c r="T310" i="7" s="1"/>
  <c r="Q311" i="7"/>
  <c r="R311" i="7" s="1"/>
  <c r="T311" i="7" s="1"/>
  <c r="Q312" i="7"/>
  <c r="R312" i="7" s="1"/>
  <c r="Q313" i="7"/>
  <c r="R313" i="7" s="1"/>
  <c r="Q314" i="7"/>
  <c r="R314" i="7" s="1"/>
  <c r="T314" i="7" s="1"/>
  <c r="Q315" i="7"/>
  <c r="R315" i="7" s="1"/>
  <c r="T315" i="7" s="1"/>
  <c r="Q316" i="7"/>
  <c r="R316" i="7" s="1"/>
  <c r="T316" i="7" s="1"/>
  <c r="Q317" i="7"/>
  <c r="R317" i="7" s="1"/>
  <c r="T317" i="7" s="1"/>
  <c r="Q318" i="7"/>
  <c r="R318" i="7" s="1"/>
  <c r="T318" i="7" s="1"/>
  <c r="Q319" i="7"/>
  <c r="R319" i="7" s="1"/>
  <c r="T319" i="7" s="1"/>
  <c r="Q320" i="7"/>
  <c r="R320" i="7" s="1"/>
  <c r="T320" i="7" s="1"/>
  <c r="Q321" i="7"/>
  <c r="Q322" i="7"/>
  <c r="R322" i="7" s="1"/>
  <c r="T322" i="7" s="1"/>
  <c r="Q323" i="7"/>
  <c r="R323" i="7" s="1"/>
  <c r="T323" i="7" s="1"/>
  <c r="Q324" i="7"/>
  <c r="R324" i="7" s="1"/>
  <c r="Q325" i="7"/>
  <c r="R325" i="7" s="1"/>
  <c r="Q326" i="7"/>
  <c r="R326" i="7" s="1"/>
  <c r="T326" i="7" s="1"/>
  <c r="Q327" i="7"/>
  <c r="R327" i="7" s="1"/>
  <c r="T327" i="7" s="1"/>
  <c r="Q328" i="7"/>
  <c r="R328" i="7" s="1"/>
  <c r="T328" i="7" s="1"/>
  <c r="Q329" i="7"/>
  <c r="R329" i="7" s="1"/>
  <c r="T329" i="7" s="1"/>
  <c r="Q330" i="7"/>
  <c r="R330" i="7" s="1"/>
  <c r="T330" i="7" s="1"/>
  <c r="Q331" i="7"/>
  <c r="R331" i="7" s="1"/>
  <c r="T331" i="7" s="1"/>
  <c r="Q332" i="7"/>
  <c r="R332" i="7" s="1"/>
  <c r="T332" i="7" s="1"/>
  <c r="Q333" i="7"/>
  <c r="Q334" i="7"/>
  <c r="R334" i="7" s="1"/>
  <c r="T334" i="7" s="1"/>
  <c r="Q335" i="7"/>
  <c r="R335" i="7" s="1"/>
  <c r="T335" i="7" s="1"/>
  <c r="Q336" i="7"/>
  <c r="R336" i="7" s="1"/>
  <c r="Q337" i="7"/>
  <c r="R337" i="7" s="1"/>
  <c r="Q338" i="7"/>
  <c r="R338" i="7" s="1"/>
  <c r="T338" i="7" s="1"/>
  <c r="Q339" i="7"/>
  <c r="R339" i="7" s="1"/>
  <c r="T339" i="7" s="1"/>
  <c r="Q340" i="7"/>
  <c r="R340" i="7" s="1"/>
  <c r="T340" i="7" s="1"/>
  <c r="Q341" i="7"/>
  <c r="R341" i="7" s="1"/>
  <c r="T341" i="7" s="1"/>
  <c r="Q342" i="7"/>
  <c r="R342" i="7" s="1"/>
  <c r="T342" i="7" s="1"/>
  <c r="Q343" i="7"/>
  <c r="R343" i="7" s="1"/>
  <c r="T343" i="7" s="1"/>
  <c r="Q344" i="7"/>
  <c r="R344" i="7" s="1"/>
  <c r="T344" i="7" s="1"/>
  <c r="Q345" i="7"/>
  <c r="Q346" i="7"/>
  <c r="R346" i="7" s="1"/>
  <c r="T346" i="7" s="1"/>
  <c r="Q347" i="7"/>
  <c r="R347" i="7" s="1"/>
  <c r="T347" i="7" s="1"/>
  <c r="Q348" i="7"/>
  <c r="R348" i="7" s="1"/>
  <c r="Q349" i="7"/>
  <c r="R349" i="7" s="1"/>
  <c r="Q350" i="7"/>
  <c r="R350" i="7" s="1"/>
  <c r="T350" i="7" s="1"/>
  <c r="Q351" i="7"/>
  <c r="R351" i="7" s="1"/>
  <c r="T351" i="7" s="1"/>
  <c r="Q352" i="7"/>
  <c r="R352" i="7" s="1"/>
  <c r="T352" i="7" s="1"/>
  <c r="Q353" i="7"/>
  <c r="R353" i="7" s="1"/>
  <c r="T353" i="7" s="1"/>
  <c r="Q354" i="7"/>
  <c r="R354" i="7" s="1"/>
  <c r="T354" i="7" s="1"/>
  <c r="Q355" i="7"/>
  <c r="R355" i="7" s="1"/>
  <c r="T355" i="7" s="1"/>
  <c r="Q356" i="7"/>
  <c r="R356" i="7" s="1"/>
  <c r="T356" i="7" s="1"/>
  <c r="Q357" i="7"/>
  <c r="Q358" i="7"/>
  <c r="R358" i="7" s="1"/>
  <c r="T358" i="7" s="1"/>
  <c r="Q359" i="7"/>
  <c r="R359" i="7" s="1"/>
  <c r="T359" i="7" s="1"/>
  <c r="Q360" i="7"/>
  <c r="R360" i="7" s="1"/>
  <c r="Q361" i="7"/>
  <c r="R361" i="7" s="1"/>
  <c r="Q362" i="7"/>
  <c r="R362" i="7" s="1"/>
  <c r="T362" i="7" s="1"/>
  <c r="Q363" i="7"/>
  <c r="R363" i="7" s="1"/>
  <c r="T363" i="7" s="1"/>
  <c r="Q364" i="7"/>
  <c r="R364" i="7" s="1"/>
  <c r="T364" i="7" s="1"/>
  <c r="Q365" i="7"/>
  <c r="R365" i="7" s="1"/>
  <c r="T365" i="7" s="1"/>
  <c r="Q366" i="7"/>
  <c r="R366" i="7" s="1"/>
  <c r="T366" i="7" s="1"/>
  <c r="Q367" i="7"/>
  <c r="R367" i="7" s="1"/>
  <c r="T367" i="7" s="1"/>
  <c r="Q368" i="7"/>
  <c r="R368" i="7" s="1"/>
  <c r="T368" i="7" s="1"/>
  <c r="Q369" i="7"/>
  <c r="Q370" i="7"/>
  <c r="R370" i="7" s="1"/>
  <c r="T370" i="7" s="1"/>
  <c r="Q371" i="7"/>
  <c r="R371" i="7" s="1"/>
  <c r="T371" i="7" s="1"/>
  <c r="Q372" i="7"/>
  <c r="R372" i="7" s="1"/>
  <c r="Q373" i="7"/>
  <c r="R373" i="7" s="1"/>
  <c r="Q374" i="7"/>
  <c r="R374" i="7" s="1"/>
  <c r="T374" i="7" s="1"/>
  <c r="Q375" i="7"/>
  <c r="R375" i="7" s="1"/>
  <c r="T375" i="7" s="1"/>
  <c r="Q376" i="7"/>
  <c r="R376" i="7" s="1"/>
  <c r="T376" i="7" s="1"/>
  <c r="Q377" i="7"/>
  <c r="R377" i="7" s="1"/>
  <c r="T377" i="7" s="1"/>
  <c r="Q378" i="7"/>
  <c r="R378" i="7" s="1"/>
  <c r="T378" i="7" s="1"/>
  <c r="Q379" i="7"/>
  <c r="R379" i="7" s="1"/>
  <c r="T379" i="7" s="1"/>
  <c r="Q380" i="7"/>
  <c r="R380" i="7" s="1"/>
  <c r="T380" i="7" s="1"/>
  <c r="Q381" i="7"/>
  <c r="Q382" i="7"/>
  <c r="R382" i="7" s="1"/>
  <c r="T382" i="7" s="1"/>
  <c r="Q383" i="7"/>
  <c r="R383" i="7" s="1"/>
  <c r="T383" i="7" s="1"/>
  <c r="Q384" i="7"/>
  <c r="R384" i="7" s="1"/>
  <c r="Q385" i="7"/>
  <c r="R385" i="7" s="1"/>
  <c r="Q386" i="7"/>
  <c r="R386" i="7" s="1"/>
  <c r="T386" i="7" s="1"/>
  <c r="Q387" i="7"/>
  <c r="R387" i="7" s="1"/>
  <c r="T387" i="7" s="1"/>
  <c r="Q388" i="7"/>
  <c r="R388" i="7" s="1"/>
  <c r="T388" i="7" s="1"/>
  <c r="Q389" i="7"/>
  <c r="R389" i="7" s="1"/>
  <c r="T389" i="7" s="1"/>
  <c r="Q390" i="7"/>
  <c r="R390" i="7" s="1"/>
  <c r="T390" i="7" s="1"/>
  <c r="Q391" i="7"/>
  <c r="R391" i="7" s="1"/>
  <c r="T391" i="7" s="1"/>
  <c r="Q392" i="7"/>
  <c r="R392" i="7" s="1"/>
  <c r="T392" i="7" s="1"/>
  <c r="Q393" i="7"/>
  <c r="Q394" i="7"/>
  <c r="R394" i="7" s="1"/>
  <c r="T394" i="7" s="1"/>
  <c r="Q395" i="7"/>
  <c r="R395" i="7" s="1"/>
  <c r="T395" i="7" s="1"/>
  <c r="Q396" i="7"/>
  <c r="R396" i="7" s="1"/>
  <c r="Q397" i="7"/>
  <c r="R397" i="7" s="1"/>
  <c r="Q398" i="7"/>
  <c r="R398" i="7" s="1"/>
  <c r="T398" i="7" s="1"/>
  <c r="Q399" i="7"/>
  <c r="R399" i="7" s="1"/>
  <c r="T399" i="7" s="1"/>
  <c r="Q400" i="7"/>
  <c r="R400" i="7" s="1"/>
  <c r="T400" i="7" s="1"/>
  <c r="Q401" i="7"/>
  <c r="R401" i="7" s="1"/>
  <c r="T401" i="7" s="1"/>
  <c r="Q402" i="7"/>
  <c r="R402" i="7" s="1"/>
  <c r="T402" i="7" s="1"/>
  <c r="Q403" i="7"/>
  <c r="R403" i="7" s="1"/>
  <c r="T403" i="7" s="1"/>
  <c r="Q404" i="7"/>
  <c r="R404" i="7" s="1"/>
  <c r="T404" i="7" s="1"/>
  <c r="Q405" i="7"/>
  <c r="Q406" i="7"/>
  <c r="R406" i="7" s="1"/>
  <c r="T406" i="7" s="1"/>
  <c r="Q407" i="7"/>
  <c r="R407" i="7" s="1"/>
  <c r="T407" i="7" s="1"/>
  <c r="Q408" i="7"/>
  <c r="R408" i="7" s="1"/>
  <c r="Q409" i="7"/>
  <c r="R409" i="7" s="1"/>
  <c r="Q410" i="7"/>
  <c r="R410" i="7" s="1"/>
  <c r="T410" i="7" s="1"/>
  <c r="Q411" i="7"/>
  <c r="R411" i="7" s="1"/>
  <c r="T411" i="7" s="1"/>
  <c r="Q412" i="7"/>
  <c r="R412" i="7" s="1"/>
  <c r="T412" i="7" s="1"/>
  <c r="Q413" i="7"/>
  <c r="R413" i="7" s="1"/>
  <c r="T413" i="7" s="1"/>
  <c r="Q414" i="7"/>
  <c r="R414" i="7" s="1"/>
  <c r="T414" i="7" s="1"/>
  <c r="Q415" i="7"/>
  <c r="R415" i="7" s="1"/>
  <c r="T415" i="7" s="1"/>
  <c r="Q416" i="7"/>
  <c r="R416" i="7" s="1"/>
  <c r="T416" i="7" s="1"/>
  <c r="Q417" i="7"/>
  <c r="Q418" i="7"/>
  <c r="R418" i="7" s="1"/>
  <c r="T418" i="7" s="1"/>
  <c r="Q419" i="7"/>
  <c r="R419" i="7" s="1"/>
  <c r="T419" i="7" s="1"/>
  <c r="Q420" i="7"/>
  <c r="R420" i="7" s="1"/>
  <c r="Q421" i="7"/>
  <c r="R421" i="7" s="1"/>
  <c r="Q422" i="7"/>
  <c r="R422" i="7" s="1"/>
  <c r="T422" i="7" s="1"/>
  <c r="Q423" i="7"/>
  <c r="R423" i="7" s="1"/>
  <c r="T423" i="7" s="1"/>
  <c r="Q424" i="7"/>
  <c r="R424" i="7" s="1"/>
  <c r="T424" i="7" s="1"/>
  <c r="Q425" i="7"/>
  <c r="R425" i="7" s="1"/>
  <c r="T425" i="7" s="1"/>
  <c r="Q426" i="7"/>
  <c r="R426" i="7" s="1"/>
  <c r="T426" i="7" s="1"/>
  <c r="Q427" i="7"/>
  <c r="R427" i="7" s="1"/>
  <c r="T427" i="7" s="1"/>
  <c r="Q428" i="7"/>
  <c r="R428" i="7" s="1"/>
  <c r="T428" i="7" s="1"/>
  <c r="Q429" i="7"/>
  <c r="Q430" i="7"/>
  <c r="R430" i="7" s="1"/>
  <c r="T430" i="7" s="1"/>
  <c r="Q431" i="7"/>
  <c r="R431" i="7" s="1"/>
  <c r="T431" i="7" s="1"/>
  <c r="Q432" i="7"/>
  <c r="R432" i="7" s="1"/>
  <c r="Q433" i="7"/>
  <c r="R433" i="7" s="1"/>
  <c r="Q434" i="7"/>
  <c r="R434" i="7" s="1"/>
  <c r="T434" i="7" s="1"/>
  <c r="Q435" i="7"/>
  <c r="R435" i="7" s="1"/>
  <c r="T435" i="7" s="1"/>
  <c r="Q436" i="7"/>
  <c r="R436" i="7" s="1"/>
  <c r="T436" i="7" s="1"/>
  <c r="Q437" i="7"/>
  <c r="R437" i="7" s="1"/>
  <c r="T437" i="7" s="1"/>
  <c r="Q438" i="7"/>
  <c r="R438" i="7" s="1"/>
  <c r="T438" i="7" s="1"/>
  <c r="Q439" i="7"/>
  <c r="R439" i="7" s="1"/>
  <c r="T439" i="7" s="1"/>
  <c r="Q440" i="7"/>
  <c r="R440" i="7" s="1"/>
  <c r="T440" i="7" s="1"/>
  <c r="Q441" i="7"/>
  <c r="Q442" i="7"/>
  <c r="R442" i="7" s="1"/>
  <c r="T442" i="7" s="1"/>
  <c r="Q443" i="7"/>
  <c r="R443" i="7" s="1"/>
  <c r="T443" i="7" s="1"/>
  <c r="Q444" i="7"/>
  <c r="R444" i="7" s="1"/>
  <c r="Q445" i="7"/>
  <c r="R445" i="7" s="1"/>
  <c r="Q446" i="7"/>
  <c r="R446" i="7" s="1"/>
  <c r="T446" i="7" s="1"/>
  <c r="Q447" i="7"/>
  <c r="R447" i="7" s="1"/>
  <c r="T447" i="7" s="1"/>
  <c r="Q448" i="7"/>
  <c r="R448" i="7" s="1"/>
  <c r="T448" i="7" s="1"/>
  <c r="Q449" i="7"/>
  <c r="R449" i="7" s="1"/>
  <c r="T449" i="7" s="1"/>
  <c r="Q450" i="7"/>
  <c r="R450" i="7" s="1"/>
  <c r="T450" i="7" s="1"/>
  <c r="Q451" i="7"/>
  <c r="R451" i="7" s="1"/>
  <c r="T451" i="7" s="1"/>
  <c r="Q452" i="7"/>
  <c r="R452" i="7" s="1"/>
  <c r="T452" i="7" s="1"/>
  <c r="Q453" i="7"/>
  <c r="Q454" i="7"/>
  <c r="R454" i="7" s="1"/>
  <c r="T454" i="7" s="1"/>
  <c r="Q455" i="7"/>
  <c r="R455" i="7" s="1"/>
  <c r="T455" i="7" s="1"/>
  <c r="Q456" i="7"/>
  <c r="R456" i="7" s="1"/>
  <c r="Q457" i="7"/>
  <c r="R457" i="7" s="1"/>
  <c r="Q458" i="7"/>
  <c r="R458" i="7" s="1"/>
  <c r="T458" i="7" s="1"/>
  <c r="Q459" i="7"/>
  <c r="R459" i="7" s="1"/>
  <c r="T459" i="7" s="1"/>
  <c r="Q460" i="7"/>
  <c r="R460" i="7" s="1"/>
  <c r="T460" i="7" s="1"/>
  <c r="Q461" i="7"/>
  <c r="R461" i="7" s="1"/>
  <c r="T461" i="7" s="1"/>
  <c r="Q462" i="7"/>
  <c r="R462" i="7" s="1"/>
  <c r="T462" i="7" s="1"/>
  <c r="Q463" i="7"/>
  <c r="R463" i="7" s="1"/>
  <c r="T463" i="7" s="1"/>
  <c r="Q464" i="7"/>
  <c r="R464" i="7" s="1"/>
  <c r="T464" i="7" s="1"/>
  <c r="Q465" i="7"/>
  <c r="Q466" i="7"/>
  <c r="R466" i="7" s="1"/>
  <c r="T466" i="7" s="1"/>
  <c r="Q467" i="7"/>
  <c r="R467" i="7" s="1"/>
  <c r="T467" i="7" s="1"/>
  <c r="Q468" i="7"/>
  <c r="R468" i="7" s="1"/>
  <c r="Q469" i="7"/>
  <c r="R469" i="7" s="1"/>
  <c r="Q470" i="7"/>
  <c r="R470" i="7" s="1"/>
  <c r="T470" i="7" s="1"/>
  <c r="Q471" i="7"/>
  <c r="R471" i="7" s="1"/>
  <c r="T471" i="7" s="1"/>
  <c r="Q472" i="7"/>
  <c r="R472" i="7" s="1"/>
  <c r="T472" i="7" s="1"/>
  <c r="Q473" i="7"/>
  <c r="R473" i="7" s="1"/>
  <c r="T473" i="7" s="1"/>
  <c r="Q474" i="7"/>
  <c r="R474" i="7" s="1"/>
  <c r="T474" i="7" s="1"/>
  <c r="Q475" i="7"/>
  <c r="R475" i="7" s="1"/>
  <c r="T475" i="7" s="1"/>
  <c r="Q476" i="7"/>
  <c r="R476" i="7" s="1"/>
  <c r="T476" i="7" s="1"/>
  <c r="Q477" i="7"/>
  <c r="Q478" i="7"/>
  <c r="R478" i="7" s="1"/>
  <c r="T478" i="7" s="1"/>
  <c r="Q479" i="7"/>
  <c r="R479" i="7" s="1"/>
  <c r="T479" i="7" s="1"/>
  <c r="Q480" i="7"/>
  <c r="R480" i="7" s="1"/>
  <c r="Q481" i="7"/>
  <c r="R481" i="7" s="1"/>
  <c r="Q482" i="7"/>
  <c r="R482" i="7" s="1"/>
  <c r="T482" i="7" s="1"/>
  <c r="Q483" i="7"/>
  <c r="R483" i="7" s="1"/>
  <c r="T483" i="7" s="1"/>
  <c r="Q484" i="7"/>
  <c r="R484" i="7" s="1"/>
  <c r="T484" i="7" s="1"/>
  <c r="Q485" i="7"/>
  <c r="R485" i="7" s="1"/>
  <c r="T485" i="7" s="1"/>
  <c r="Q486" i="7"/>
  <c r="R486" i="7" s="1"/>
  <c r="T486" i="7" s="1"/>
  <c r="Q487" i="7"/>
  <c r="R487" i="7" s="1"/>
  <c r="T487" i="7" s="1"/>
  <c r="Q488" i="7"/>
  <c r="R488" i="7" s="1"/>
  <c r="T488" i="7" s="1"/>
  <c r="Q489" i="7"/>
  <c r="Q490" i="7"/>
  <c r="R490" i="7" s="1"/>
  <c r="T490" i="7" s="1"/>
  <c r="Q491" i="7"/>
  <c r="R491" i="7" s="1"/>
  <c r="T491" i="7" s="1"/>
  <c r="Q492" i="7"/>
  <c r="R492" i="7" s="1"/>
  <c r="Q493" i="7"/>
  <c r="R493" i="7" s="1"/>
  <c r="Q494" i="7"/>
  <c r="R494" i="7" s="1"/>
  <c r="T494" i="7" s="1"/>
  <c r="Q495" i="7"/>
  <c r="R495" i="7" s="1"/>
  <c r="T495" i="7" s="1"/>
  <c r="Q496" i="7"/>
  <c r="R496" i="7" s="1"/>
  <c r="T496" i="7" s="1"/>
  <c r="Q497" i="7"/>
  <c r="R497" i="7" s="1"/>
  <c r="T497" i="7" s="1"/>
  <c r="Q498" i="7"/>
  <c r="R498" i="7" s="1"/>
  <c r="T498" i="7" s="1"/>
  <c r="Q499" i="7"/>
  <c r="R499" i="7" s="1"/>
  <c r="T499" i="7" s="1"/>
  <c r="Q500" i="7"/>
  <c r="R500" i="7" s="1"/>
  <c r="T500" i="7" s="1"/>
  <c r="Q501" i="7"/>
  <c r="Q502" i="7"/>
  <c r="R502" i="7" s="1"/>
  <c r="T502" i="7" s="1"/>
  <c r="Q503" i="7"/>
  <c r="R503" i="7" s="1"/>
  <c r="T503" i="7" s="1"/>
  <c r="Q504" i="7"/>
  <c r="R504" i="7" s="1"/>
  <c r="Q505" i="7"/>
  <c r="R505" i="7" s="1"/>
  <c r="Q506" i="7"/>
  <c r="R506" i="7" s="1"/>
  <c r="T506" i="7" s="1"/>
  <c r="Q507" i="7"/>
  <c r="R507" i="7" s="1"/>
  <c r="T507" i="7" s="1"/>
  <c r="Q508" i="7"/>
  <c r="R508" i="7" s="1"/>
  <c r="T508" i="7" s="1"/>
  <c r="Q509" i="7"/>
  <c r="R509" i="7" s="1"/>
  <c r="T509" i="7" s="1"/>
  <c r="Q510" i="7"/>
  <c r="R510" i="7" s="1"/>
  <c r="T510" i="7" s="1"/>
  <c r="Q511" i="7"/>
  <c r="R511" i="7" s="1"/>
  <c r="T511" i="7" s="1"/>
  <c r="Q512" i="7"/>
  <c r="R512" i="7" s="1"/>
  <c r="T512" i="7" s="1"/>
  <c r="Q513" i="7"/>
  <c r="Q514" i="7"/>
  <c r="R514" i="7" s="1"/>
  <c r="T514" i="7" s="1"/>
  <c r="Q515" i="7"/>
  <c r="R515" i="7" s="1"/>
  <c r="T515" i="7" s="1"/>
  <c r="Q516" i="7"/>
  <c r="R516" i="7" s="1"/>
  <c r="Q517" i="7"/>
  <c r="R517" i="7" s="1"/>
  <c r="Q518" i="7"/>
  <c r="R518" i="7" s="1"/>
  <c r="T518" i="7" s="1"/>
  <c r="Q519" i="7"/>
  <c r="R519" i="7" s="1"/>
  <c r="T519" i="7" s="1"/>
  <c r="Q520" i="7"/>
  <c r="R520" i="7" s="1"/>
  <c r="T520" i="7" s="1"/>
  <c r="Q521" i="7"/>
  <c r="R521" i="7" s="1"/>
  <c r="T521" i="7" s="1"/>
  <c r="Q522" i="7"/>
  <c r="R522" i="7" s="1"/>
  <c r="T522" i="7" s="1"/>
  <c r="Q523" i="7"/>
  <c r="R523" i="7" s="1"/>
  <c r="T523" i="7" s="1"/>
  <c r="Q524" i="7"/>
  <c r="R524" i="7" s="1"/>
  <c r="T524" i="7" s="1"/>
  <c r="Q525" i="7"/>
  <c r="Q526" i="7"/>
  <c r="R526" i="7" s="1"/>
  <c r="T526" i="7" s="1"/>
  <c r="Q527" i="7"/>
  <c r="R527" i="7" s="1"/>
  <c r="T527" i="7" s="1"/>
  <c r="Q528" i="7"/>
  <c r="R528" i="7" s="1"/>
  <c r="Q529" i="7"/>
  <c r="R529" i="7" s="1"/>
  <c r="Q530" i="7"/>
  <c r="R530" i="7" s="1"/>
  <c r="T530" i="7" s="1"/>
  <c r="Q531" i="7"/>
  <c r="R531" i="7" s="1"/>
  <c r="T531" i="7" s="1"/>
  <c r="Q532" i="7"/>
  <c r="R532" i="7" s="1"/>
  <c r="T532" i="7" s="1"/>
  <c r="Q533" i="7"/>
  <c r="R533" i="7" s="1"/>
  <c r="T533" i="7" s="1"/>
  <c r="Q534" i="7"/>
  <c r="R534" i="7" s="1"/>
  <c r="T534" i="7" s="1"/>
  <c r="Q535" i="7"/>
  <c r="R535" i="7" s="1"/>
  <c r="T535" i="7" s="1"/>
  <c r="Q536" i="7"/>
  <c r="R536" i="7" s="1"/>
  <c r="T536" i="7" s="1"/>
  <c r="Q537" i="7"/>
  <c r="Q538" i="7"/>
  <c r="R538" i="7" s="1"/>
  <c r="T538" i="7" s="1"/>
  <c r="Q539" i="7"/>
  <c r="R539" i="7" s="1"/>
  <c r="T539" i="7" s="1"/>
  <c r="Q540" i="7"/>
  <c r="R540" i="7" s="1"/>
  <c r="Q541" i="7"/>
  <c r="R541" i="7" s="1"/>
  <c r="Q542" i="7"/>
  <c r="R542" i="7" s="1"/>
  <c r="T542" i="7" s="1"/>
  <c r="Q543" i="7"/>
  <c r="R543" i="7" s="1"/>
  <c r="T543" i="7" s="1"/>
  <c r="Q544" i="7"/>
  <c r="R544" i="7" s="1"/>
  <c r="T544" i="7" s="1"/>
  <c r="Q545" i="7"/>
  <c r="R545" i="7" s="1"/>
  <c r="T545" i="7" s="1"/>
  <c r="Q546" i="7"/>
  <c r="R546" i="7" s="1"/>
  <c r="T546" i="7" s="1"/>
  <c r="Q547" i="7"/>
  <c r="R547" i="7" s="1"/>
  <c r="T547" i="7" s="1"/>
  <c r="Q548" i="7"/>
  <c r="R548" i="7" s="1"/>
  <c r="T548" i="7" s="1"/>
  <c r="Q549" i="7"/>
  <c r="Q550" i="7"/>
  <c r="R550" i="7" s="1"/>
  <c r="T550" i="7" s="1"/>
  <c r="Q551" i="7"/>
  <c r="R551" i="7" s="1"/>
  <c r="T551" i="7" s="1"/>
  <c r="Q552" i="7"/>
  <c r="R552" i="7" s="1"/>
  <c r="Q553" i="7"/>
  <c r="R553" i="7" s="1"/>
  <c r="Q554" i="7"/>
  <c r="R554" i="7" s="1"/>
  <c r="T554" i="7" s="1"/>
  <c r="Q555" i="7"/>
  <c r="R555" i="7" s="1"/>
  <c r="T555" i="7" s="1"/>
  <c r="Q556" i="7"/>
  <c r="R556" i="7" s="1"/>
  <c r="T556" i="7" s="1"/>
  <c r="Q557" i="7"/>
  <c r="R557" i="7" s="1"/>
  <c r="T557" i="7" s="1"/>
  <c r="Q558" i="7"/>
  <c r="R558" i="7" s="1"/>
  <c r="T558" i="7" s="1"/>
  <c r="Q559" i="7"/>
  <c r="R559" i="7" s="1"/>
  <c r="T559" i="7" s="1"/>
  <c r="Q560" i="7"/>
  <c r="R560" i="7" s="1"/>
  <c r="T560" i="7" s="1"/>
  <c r="Q561" i="7"/>
  <c r="Q562" i="7"/>
  <c r="R562" i="7" s="1"/>
  <c r="T562" i="7" s="1"/>
  <c r="Q563" i="7"/>
  <c r="R563" i="7" s="1"/>
  <c r="T563" i="7" s="1"/>
  <c r="Q564" i="7"/>
  <c r="R564" i="7" s="1"/>
  <c r="Q565" i="7"/>
  <c r="R565" i="7" s="1"/>
  <c r="Q566" i="7"/>
  <c r="R566" i="7" s="1"/>
  <c r="T566" i="7" s="1"/>
  <c r="Q567" i="7"/>
  <c r="R567" i="7" s="1"/>
  <c r="T567" i="7" s="1"/>
  <c r="Q568" i="7"/>
  <c r="R568" i="7" s="1"/>
  <c r="T568" i="7" s="1"/>
  <c r="Q569" i="7"/>
  <c r="R569" i="7" s="1"/>
  <c r="T569" i="7" s="1"/>
  <c r="Q570" i="7"/>
  <c r="R570" i="7" s="1"/>
  <c r="T570" i="7" s="1"/>
  <c r="Q571" i="7"/>
  <c r="R571" i="7" s="1"/>
  <c r="T571" i="7" s="1"/>
  <c r="Q572" i="7"/>
  <c r="R572" i="7" s="1"/>
  <c r="T572" i="7" s="1"/>
  <c r="Q573" i="7"/>
  <c r="Q574" i="7"/>
  <c r="R574" i="7" s="1"/>
  <c r="T574" i="7" s="1"/>
  <c r="Q575" i="7"/>
  <c r="R575" i="7" s="1"/>
  <c r="T575" i="7" s="1"/>
  <c r="Q576" i="7"/>
  <c r="R576" i="7" s="1"/>
  <c r="Q577" i="7"/>
  <c r="R577" i="7" s="1"/>
  <c r="Q578" i="7"/>
  <c r="R578" i="7" s="1"/>
  <c r="T578" i="7" s="1"/>
  <c r="Q579" i="7"/>
  <c r="R579" i="7" s="1"/>
  <c r="T579" i="7" s="1"/>
  <c r="Q580" i="7"/>
  <c r="R580" i="7" s="1"/>
  <c r="T580" i="7" s="1"/>
  <c r="Q581" i="7"/>
  <c r="R581" i="7" s="1"/>
  <c r="T581" i="7" s="1"/>
  <c r="Q582" i="7"/>
  <c r="R582" i="7" s="1"/>
  <c r="T582" i="7" s="1"/>
  <c r="Q583" i="7"/>
  <c r="R583" i="7" s="1"/>
  <c r="T583" i="7" s="1"/>
  <c r="Q584" i="7"/>
  <c r="R584" i="7" s="1"/>
  <c r="T584" i="7" s="1"/>
  <c r="Q585" i="7"/>
  <c r="Q586" i="7"/>
  <c r="R586" i="7" s="1"/>
  <c r="T586" i="7" s="1"/>
  <c r="Q587" i="7"/>
  <c r="R587" i="7" s="1"/>
  <c r="T587" i="7" s="1"/>
  <c r="Q588" i="7"/>
  <c r="R588" i="7" s="1"/>
  <c r="Q589" i="7"/>
  <c r="R589" i="7" s="1"/>
  <c r="Q590" i="7"/>
  <c r="R590" i="7" s="1"/>
  <c r="T590" i="7" s="1"/>
  <c r="Q591" i="7"/>
  <c r="R591" i="7" s="1"/>
  <c r="T591" i="7" s="1"/>
  <c r="Q592" i="7"/>
  <c r="R592" i="7" s="1"/>
  <c r="T592" i="7" s="1"/>
  <c r="Q593" i="7"/>
  <c r="R593" i="7" s="1"/>
  <c r="T593" i="7" s="1"/>
  <c r="Q594" i="7"/>
  <c r="R594" i="7" s="1"/>
  <c r="T594" i="7" s="1"/>
  <c r="Q595" i="7"/>
  <c r="R595" i="7" s="1"/>
  <c r="T595" i="7" s="1"/>
  <c r="Q596" i="7"/>
  <c r="R596" i="7" s="1"/>
  <c r="T596" i="7" s="1"/>
  <c r="Q597" i="7"/>
  <c r="Q598" i="7"/>
  <c r="R598" i="7" s="1"/>
  <c r="T598" i="7" s="1"/>
  <c r="Q599" i="7"/>
  <c r="R599" i="7" s="1"/>
  <c r="T599" i="7" s="1"/>
  <c r="Q600" i="7"/>
  <c r="R600" i="7" s="1"/>
  <c r="Q601" i="7"/>
  <c r="R601" i="7" s="1"/>
  <c r="Q602" i="7"/>
  <c r="R602" i="7" s="1"/>
  <c r="T602" i="7" s="1"/>
  <c r="Q603" i="7"/>
  <c r="R603" i="7" s="1"/>
  <c r="T603" i="7" s="1"/>
  <c r="Q604" i="7"/>
  <c r="R604" i="7" s="1"/>
  <c r="T604" i="7" s="1"/>
  <c r="Q605" i="7"/>
  <c r="R605" i="7" s="1"/>
  <c r="T605" i="7" s="1"/>
  <c r="Q606" i="7"/>
  <c r="R606" i="7" s="1"/>
  <c r="T606" i="7" s="1"/>
  <c r="Q607" i="7"/>
  <c r="R607" i="7" s="1"/>
  <c r="T607" i="7" s="1"/>
  <c r="Q608" i="7"/>
  <c r="R608" i="7" s="1"/>
  <c r="T608" i="7" s="1"/>
  <c r="Q609" i="7"/>
  <c r="Q610" i="7"/>
  <c r="R610" i="7" s="1"/>
  <c r="T610" i="7" s="1"/>
  <c r="Q611" i="7"/>
  <c r="R611" i="7" s="1"/>
  <c r="T611" i="7" s="1"/>
  <c r="Q612" i="7"/>
  <c r="R612" i="7" s="1"/>
  <c r="Q613" i="7"/>
  <c r="R613" i="7" s="1"/>
  <c r="Q614" i="7"/>
  <c r="R614" i="7" s="1"/>
  <c r="T614" i="7" s="1"/>
  <c r="Q615" i="7"/>
  <c r="R615" i="7" s="1"/>
  <c r="T615" i="7" s="1"/>
  <c r="Q616" i="7"/>
  <c r="R616" i="7" s="1"/>
  <c r="T616" i="7" s="1"/>
  <c r="Q617" i="7"/>
  <c r="R617" i="7" s="1"/>
  <c r="T617" i="7" s="1"/>
  <c r="Q618" i="7"/>
  <c r="R618" i="7" s="1"/>
  <c r="T618" i="7" s="1"/>
  <c r="Q619" i="7"/>
  <c r="R619" i="7" s="1"/>
  <c r="T619" i="7" s="1"/>
  <c r="Q620" i="7"/>
  <c r="R620" i="7" s="1"/>
  <c r="T620" i="7" s="1"/>
  <c r="Q621" i="7"/>
  <c r="Q622" i="7"/>
  <c r="R622" i="7" s="1"/>
  <c r="T622" i="7" s="1"/>
  <c r="Q623" i="7"/>
  <c r="R623" i="7" s="1"/>
  <c r="T623" i="7" s="1"/>
  <c r="Q624" i="7"/>
  <c r="R624" i="7" s="1"/>
  <c r="Q625" i="7"/>
  <c r="R625" i="7" s="1"/>
  <c r="Q626" i="7"/>
  <c r="R626" i="7" s="1"/>
  <c r="T626" i="7" s="1"/>
  <c r="Q627" i="7"/>
  <c r="R627" i="7" s="1"/>
  <c r="T627" i="7" s="1"/>
  <c r="Q628" i="7"/>
  <c r="R628" i="7" s="1"/>
  <c r="T628" i="7" s="1"/>
  <c r="Q629" i="7"/>
  <c r="R629" i="7" s="1"/>
  <c r="T629" i="7" s="1"/>
  <c r="Q630" i="7"/>
  <c r="R630" i="7" s="1"/>
  <c r="T630" i="7" s="1"/>
  <c r="Q631" i="7"/>
  <c r="R631" i="7" s="1"/>
  <c r="T631" i="7" s="1"/>
  <c r="Q632" i="7"/>
  <c r="R632" i="7" s="1"/>
  <c r="T632" i="7" s="1"/>
  <c r="Q633" i="7"/>
  <c r="Q634" i="7"/>
  <c r="R634" i="7" s="1"/>
  <c r="T634" i="7" s="1"/>
  <c r="Q635" i="7"/>
  <c r="R635" i="7" s="1"/>
  <c r="T635" i="7" s="1"/>
  <c r="Q636" i="7"/>
  <c r="R636" i="7" s="1"/>
  <c r="Q637" i="7"/>
  <c r="R637" i="7" s="1"/>
  <c r="Q638" i="7"/>
  <c r="R638" i="7" s="1"/>
  <c r="T638" i="7" s="1"/>
  <c r="Q639" i="7"/>
  <c r="R639" i="7" s="1"/>
  <c r="T639" i="7" s="1"/>
  <c r="Q640" i="7"/>
  <c r="R640" i="7" s="1"/>
  <c r="T640" i="7" s="1"/>
  <c r="Q641" i="7"/>
  <c r="R641" i="7" s="1"/>
  <c r="T641" i="7" s="1"/>
  <c r="Q642" i="7"/>
  <c r="R642" i="7" s="1"/>
  <c r="T642" i="7" s="1"/>
  <c r="Q643" i="7"/>
  <c r="R643" i="7" s="1"/>
  <c r="T643" i="7" s="1"/>
  <c r="Q644" i="7"/>
  <c r="R644" i="7" s="1"/>
  <c r="T644" i="7" s="1"/>
  <c r="Q645" i="7"/>
  <c r="Q646" i="7"/>
  <c r="R646" i="7" s="1"/>
  <c r="T646" i="7" s="1"/>
  <c r="Q647" i="7"/>
  <c r="R647" i="7" s="1"/>
  <c r="T647" i="7" s="1"/>
  <c r="Q648" i="7"/>
  <c r="R648" i="7" s="1"/>
  <c r="Q649" i="7"/>
  <c r="R649" i="7" s="1"/>
  <c r="Q650" i="7"/>
  <c r="R650" i="7" s="1"/>
  <c r="T650" i="7" s="1"/>
  <c r="Q651" i="7"/>
  <c r="R651" i="7" s="1"/>
  <c r="T651" i="7" s="1"/>
  <c r="Q652" i="7"/>
  <c r="R652" i="7" s="1"/>
  <c r="T652" i="7" s="1"/>
  <c r="Q653" i="7"/>
  <c r="R653" i="7" s="1"/>
  <c r="T653" i="7" s="1"/>
  <c r="Q654" i="7"/>
  <c r="R654" i="7" s="1"/>
  <c r="T654" i="7" s="1"/>
  <c r="Q655" i="7"/>
  <c r="R655" i="7" s="1"/>
  <c r="T655" i="7" s="1"/>
  <c r="Q656" i="7"/>
  <c r="R656" i="7" s="1"/>
  <c r="T656" i="7" s="1"/>
  <c r="Q657" i="7"/>
  <c r="Q658" i="7"/>
  <c r="R658" i="7" s="1"/>
  <c r="T658" i="7" s="1"/>
  <c r="Q659" i="7"/>
  <c r="R659" i="7" s="1"/>
  <c r="T659" i="7" s="1"/>
  <c r="Q660" i="7"/>
  <c r="R660" i="7" s="1"/>
  <c r="Q661" i="7"/>
  <c r="R661" i="7" s="1"/>
  <c r="Q662" i="7"/>
  <c r="R662" i="7" s="1"/>
  <c r="T662" i="7" s="1"/>
  <c r="Q663" i="7"/>
  <c r="R663" i="7" s="1"/>
  <c r="T663" i="7" s="1"/>
  <c r="Q664" i="7"/>
  <c r="R664" i="7" s="1"/>
  <c r="T664" i="7" s="1"/>
  <c r="Q665" i="7"/>
  <c r="R665" i="7" s="1"/>
  <c r="T665" i="7" s="1"/>
  <c r="Q666" i="7"/>
  <c r="R666" i="7" s="1"/>
  <c r="T666" i="7" s="1"/>
  <c r="Q667" i="7"/>
  <c r="R667" i="7" s="1"/>
  <c r="T667" i="7" s="1"/>
  <c r="Q668" i="7"/>
  <c r="R668" i="7" s="1"/>
  <c r="T668" i="7" s="1"/>
  <c r="Q669" i="7"/>
  <c r="Q670" i="7"/>
  <c r="R670" i="7" s="1"/>
  <c r="T670" i="7" s="1"/>
  <c r="Q671" i="7"/>
  <c r="R671" i="7" s="1"/>
  <c r="T671" i="7" s="1"/>
  <c r="Q672" i="7"/>
  <c r="R672" i="7" s="1"/>
  <c r="Q673" i="7"/>
  <c r="R673" i="7" s="1"/>
  <c r="Q674" i="7"/>
  <c r="R674" i="7" s="1"/>
  <c r="T674" i="7" s="1"/>
  <c r="Q675" i="7"/>
  <c r="R675" i="7" s="1"/>
  <c r="T675" i="7" s="1"/>
  <c r="Q676" i="7"/>
  <c r="R676" i="7" s="1"/>
  <c r="T676" i="7" s="1"/>
  <c r="Q677" i="7"/>
  <c r="R677" i="7" s="1"/>
  <c r="T677" i="7" s="1"/>
  <c r="Q678" i="7"/>
  <c r="R678" i="7" s="1"/>
  <c r="T678" i="7" s="1"/>
  <c r="Q679" i="7"/>
  <c r="R679" i="7" s="1"/>
  <c r="T679" i="7" s="1"/>
  <c r="Q680" i="7"/>
  <c r="R680" i="7" s="1"/>
  <c r="T680" i="7" s="1"/>
  <c r="Q681" i="7"/>
  <c r="Q682" i="7"/>
  <c r="R682" i="7" s="1"/>
  <c r="T682" i="7" s="1"/>
  <c r="Q683" i="7"/>
  <c r="R683" i="7" s="1"/>
  <c r="T683" i="7" s="1"/>
  <c r="Q684" i="7"/>
  <c r="R684" i="7" s="1"/>
  <c r="Q685" i="7"/>
  <c r="R685" i="7" s="1"/>
  <c r="Q686" i="7"/>
  <c r="R686" i="7" s="1"/>
  <c r="T686" i="7" s="1"/>
  <c r="Q687" i="7"/>
  <c r="R687" i="7" s="1"/>
  <c r="T687" i="7" s="1"/>
  <c r="Q688" i="7"/>
  <c r="R688" i="7" s="1"/>
  <c r="T688" i="7" s="1"/>
  <c r="Q689" i="7"/>
  <c r="R689" i="7" s="1"/>
  <c r="T689" i="7" s="1"/>
  <c r="Q690" i="7"/>
  <c r="R690" i="7" s="1"/>
  <c r="T690" i="7" s="1"/>
  <c r="Q691" i="7"/>
  <c r="R691" i="7" s="1"/>
  <c r="T691" i="7" s="1"/>
  <c r="Q692" i="7"/>
  <c r="R692" i="7" s="1"/>
  <c r="T692" i="7" s="1"/>
  <c r="Q693" i="7"/>
  <c r="Q694" i="7"/>
  <c r="R694" i="7" s="1"/>
  <c r="T694" i="7" s="1"/>
  <c r="Q695" i="7"/>
  <c r="R695" i="7" s="1"/>
  <c r="T695" i="7" s="1"/>
  <c r="Q696" i="7"/>
  <c r="R696" i="7" s="1"/>
  <c r="Q697" i="7"/>
  <c r="R697" i="7" s="1"/>
  <c r="Q698" i="7"/>
  <c r="R698" i="7" s="1"/>
  <c r="T698" i="7" s="1"/>
  <c r="Q699" i="7"/>
  <c r="R699" i="7" s="1"/>
  <c r="T699" i="7" s="1"/>
  <c r="Q700" i="7"/>
  <c r="R700" i="7" s="1"/>
  <c r="T700" i="7" s="1"/>
  <c r="Q701" i="7"/>
  <c r="R701" i="7" s="1"/>
  <c r="T701" i="7" s="1"/>
  <c r="T296" i="7" l="1"/>
  <c r="T284" i="7"/>
  <c r="T272" i="7"/>
  <c r="T260" i="7"/>
  <c r="T248" i="7"/>
  <c r="T236" i="7"/>
  <c r="T224" i="7"/>
  <c r="T212" i="7"/>
  <c r="T200" i="7"/>
  <c r="T188" i="7"/>
  <c r="T176" i="7"/>
  <c r="U176" i="7" s="1"/>
  <c r="T164" i="7"/>
  <c r="T152" i="7"/>
  <c r="T140" i="7"/>
  <c r="T128" i="7"/>
  <c r="T116" i="7"/>
  <c r="T104" i="7"/>
  <c r="T92" i="7"/>
  <c r="T80" i="7"/>
  <c r="T68" i="7"/>
  <c r="T56" i="7"/>
  <c r="T44" i="7"/>
  <c r="T32" i="7"/>
  <c r="U32" i="7" s="1"/>
  <c r="T20" i="7"/>
  <c r="T8" i="7"/>
  <c r="T31" i="7"/>
  <c r="T19" i="7"/>
  <c r="T7" i="7"/>
  <c r="T2" i="7"/>
  <c r="X649" i="7"/>
  <c r="X697" i="7"/>
  <c r="X685" i="7"/>
  <c r="X673" i="7"/>
  <c r="X661" i="7"/>
  <c r="R669" i="7"/>
  <c r="T669" i="7" s="1"/>
  <c r="U669" i="7" s="1"/>
  <c r="X669" i="7"/>
  <c r="R609" i="7"/>
  <c r="T609" i="7" s="1"/>
  <c r="X609" i="7"/>
  <c r="R549" i="7"/>
  <c r="T549" i="7" s="1"/>
  <c r="U549" i="7" s="1"/>
  <c r="X549" i="7"/>
  <c r="R513" i="7"/>
  <c r="T513" i="7" s="1"/>
  <c r="U513" i="7" s="1"/>
  <c r="X513" i="7"/>
  <c r="R453" i="7"/>
  <c r="T453" i="7" s="1"/>
  <c r="X453" i="7"/>
  <c r="R405" i="7"/>
  <c r="T405" i="7" s="1"/>
  <c r="U405" i="7" s="1"/>
  <c r="X405" i="7"/>
  <c r="R333" i="7"/>
  <c r="T333" i="7" s="1"/>
  <c r="U333" i="7" s="1"/>
  <c r="X333" i="7"/>
  <c r="R273" i="7"/>
  <c r="T273" i="7" s="1"/>
  <c r="X273" i="7"/>
  <c r="R237" i="7"/>
  <c r="T237" i="7" s="1"/>
  <c r="X237" i="7"/>
  <c r="R177" i="7"/>
  <c r="T177" i="7" s="1"/>
  <c r="U177" i="7" s="1"/>
  <c r="X177" i="7"/>
  <c r="R105" i="7"/>
  <c r="X105" i="7"/>
  <c r="R45" i="7"/>
  <c r="X45" i="7"/>
  <c r="R693" i="7"/>
  <c r="T693" i="7" s="1"/>
  <c r="U693" i="7" s="1"/>
  <c r="X693" i="7"/>
  <c r="R633" i="7"/>
  <c r="T633" i="7" s="1"/>
  <c r="X633" i="7"/>
  <c r="R585" i="7"/>
  <c r="T585" i="7" s="1"/>
  <c r="X585" i="7"/>
  <c r="R525" i="7"/>
  <c r="T525" i="7" s="1"/>
  <c r="U525" i="7" s="1"/>
  <c r="X525" i="7"/>
  <c r="R465" i="7"/>
  <c r="T465" i="7" s="1"/>
  <c r="X465" i="7"/>
  <c r="R393" i="7"/>
  <c r="T393" i="7" s="1"/>
  <c r="U393" i="7" s="1"/>
  <c r="X393" i="7"/>
  <c r="R345" i="7"/>
  <c r="T345" i="7" s="1"/>
  <c r="U345" i="7" s="1"/>
  <c r="X345" i="7"/>
  <c r="R309" i="7"/>
  <c r="T309" i="7" s="1"/>
  <c r="X309" i="7"/>
  <c r="R249" i="7"/>
  <c r="T249" i="7" s="1"/>
  <c r="X249" i="7"/>
  <c r="R189" i="7"/>
  <c r="T189" i="7" s="1"/>
  <c r="U189" i="7" s="1"/>
  <c r="X189" i="7"/>
  <c r="R129" i="7"/>
  <c r="X129" i="7"/>
  <c r="R57" i="7"/>
  <c r="X57" i="7"/>
  <c r="X193" i="7"/>
  <c r="X565" i="7"/>
  <c r="X205" i="7"/>
  <c r="X469" i="7"/>
  <c r="X553" i="7"/>
  <c r="X217" i="7"/>
  <c r="X481" i="7"/>
  <c r="X529" i="7"/>
  <c r="X253" i="7"/>
  <c r="X385" i="7"/>
  <c r="X409" i="7"/>
  <c r="X433" i="7"/>
  <c r="X457" i="7"/>
  <c r="X493" i="7"/>
  <c r="X541" i="7"/>
  <c r="X625" i="7"/>
  <c r="X289" i="7"/>
  <c r="X265" i="7"/>
  <c r="X241" i="7"/>
  <c r="X277" i="7"/>
  <c r="X577" i="7"/>
  <c r="X13" i="7"/>
  <c r="X25" i="7"/>
  <c r="X37" i="7"/>
  <c r="X49" i="7"/>
  <c r="X61" i="7"/>
  <c r="X73" i="7"/>
  <c r="X85" i="7"/>
  <c r="X97" i="7"/>
  <c r="X109" i="7"/>
  <c r="X121" i="7"/>
  <c r="X133" i="7"/>
  <c r="X145" i="7"/>
  <c r="X157" i="7"/>
  <c r="X169" i="7"/>
  <c r="X181" i="7"/>
  <c r="X229" i="7"/>
  <c r="X301" i="7"/>
  <c r="X313" i="7"/>
  <c r="X325" i="7"/>
  <c r="X337" i="7"/>
  <c r="X349" i="7"/>
  <c r="X361" i="7"/>
  <c r="X373" i="7"/>
  <c r="X397" i="7"/>
  <c r="X421" i="7"/>
  <c r="X445" i="7"/>
  <c r="X517" i="7"/>
  <c r="X637" i="7"/>
  <c r="R645" i="7"/>
  <c r="T645" i="7" s="1"/>
  <c r="U645" i="7" s="1"/>
  <c r="X645" i="7"/>
  <c r="R573" i="7"/>
  <c r="T573" i="7" s="1"/>
  <c r="U573" i="7" s="1"/>
  <c r="X573" i="7"/>
  <c r="R501" i="7"/>
  <c r="T501" i="7" s="1"/>
  <c r="U501" i="7" s="1"/>
  <c r="X501" i="7"/>
  <c r="R441" i="7"/>
  <c r="T441" i="7" s="1"/>
  <c r="U441" i="7" s="1"/>
  <c r="X441" i="7"/>
  <c r="R381" i="7"/>
  <c r="T381" i="7" s="1"/>
  <c r="U381" i="7" s="1"/>
  <c r="X381" i="7"/>
  <c r="R321" i="7"/>
  <c r="T321" i="7" s="1"/>
  <c r="U321" i="7" s="1"/>
  <c r="X321" i="7"/>
  <c r="R261" i="7"/>
  <c r="T261" i="7" s="1"/>
  <c r="U261" i="7" s="1"/>
  <c r="X261" i="7"/>
  <c r="R213" i="7"/>
  <c r="T213" i="7" s="1"/>
  <c r="U213" i="7" s="1"/>
  <c r="X213" i="7"/>
  <c r="R153" i="7"/>
  <c r="T153" i="7" s="1"/>
  <c r="U153" i="7" s="1"/>
  <c r="X153" i="7"/>
  <c r="R117" i="7"/>
  <c r="T117" i="7" s="1"/>
  <c r="U117" i="7" s="1"/>
  <c r="X117" i="7"/>
  <c r="R69" i="7"/>
  <c r="T69" i="7" s="1"/>
  <c r="U69" i="7" s="1"/>
  <c r="X69" i="7"/>
  <c r="R21" i="7"/>
  <c r="T21" i="7" s="1"/>
  <c r="U21" i="7" s="1"/>
  <c r="X21" i="7"/>
  <c r="X613" i="7"/>
  <c r="R681" i="7"/>
  <c r="T681" i="7" s="1"/>
  <c r="X681" i="7"/>
  <c r="R621" i="7"/>
  <c r="T621" i="7" s="1"/>
  <c r="U621" i="7" s="1"/>
  <c r="X621" i="7"/>
  <c r="R561" i="7"/>
  <c r="T561" i="7" s="1"/>
  <c r="U561" i="7" s="1"/>
  <c r="X561" i="7"/>
  <c r="R489" i="7"/>
  <c r="T489" i="7" s="1"/>
  <c r="X489" i="7"/>
  <c r="R429" i="7"/>
  <c r="T429" i="7" s="1"/>
  <c r="X429" i="7"/>
  <c r="R369" i="7"/>
  <c r="T369" i="7" s="1"/>
  <c r="U369" i="7" s="1"/>
  <c r="X369" i="7"/>
  <c r="R285" i="7"/>
  <c r="T285" i="7" s="1"/>
  <c r="X285" i="7"/>
  <c r="R225" i="7"/>
  <c r="T225" i="7" s="1"/>
  <c r="U225" i="7" s="1"/>
  <c r="X225" i="7"/>
  <c r="R165" i="7"/>
  <c r="T165" i="7" s="1"/>
  <c r="U165" i="7" s="1"/>
  <c r="X165" i="7"/>
  <c r="R81" i="7"/>
  <c r="T81" i="7" s="1"/>
  <c r="U81" i="7" s="1"/>
  <c r="X81" i="7"/>
  <c r="R9" i="7"/>
  <c r="T9" i="7" s="1"/>
  <c r="U9" i="7" s="1"/>
  <c r="X9" i="7"/>
  <c r="X601" i="7"/>
  <c r="X589" i="7"/>
  <c r="R657" i="7"/>
  <c r="T657" i="7" s="1"/>
  <c r="X657" i="7"/>
  <c r="R597" i="7"/>
  <c r="T597" i="7" s="1"/>
  <c r="U597" i="7" s="1"/>
  <c r="X597" i="7"/>
  <c r="R537" i="7"/>
  <c r="T537" i="7" s="1"/>
  <c r="U537" i="7" s="1"/>
  <c r="X537" i="7"/>
  <c r="R477" i="7"/>
  <c r="T477" i="7" s="1"/>
  <c r="X477" i="7"/>
  <c r="R417" i="7"/>
  <c r="T417" i="7" s="1"/>
  <c r="X417" i="7"/>
  <c r="R357" i="7"/>
  <c r="T357" i="7" s="1"/>
  <c r="U357" i="7" s="1"/>
  <c r="X357" i="7"/>
  <c r="R297" i="7"/>
  <c r="T297" i="7" s="1"/>
  <c r="X297" i="7"/>
  <c r="R201" i="7"/>
  <c r="T201" i="7" s="1"/>
  <c r="X201" i="7"/>
  <c r="R141" i="7"/>
  <c r="T141" i="7" s="1"/>
  <c r="U141" i="7" s="1"/>
  <c r="X141" i="7"/>
  <c r="R93" i="7"/>
  <c r="T93" i="7" s="1"/>
  <c r="U93" i="7" s="1"/>
  <c r="X93" i="7"/>
  <c r="R33" i="7"/>
  <c r="X33" i="7"/>
  <c r="X505" i="7"/>
  <c r="X696" i="7"/>
  <c r="X684" i="7"/>
  <c r="X672" i="7"/>
  <c r="X660" i="7"/>
  <c r="X648" i="7"/>
  <c r="X636" i="7"/>
  <c r="X624" i="7"/>
  <c r="X612" i="7"/>
  <c r="X600" i="7"/>
  <c r="X588" i="7"/>
  <c r="X576" i="7"/>
  <c r="X564" i="7"/>
  <c r="X552" i="7"/>
  <c r="X540" i="7"/>
  <c r="X528" i="7"/>
  <c r="X516" i="7"/>
  <c r="X504" i="7"/>
  <c r="X492" i="7"/>
  <c r="X480" i="7"/>
  <c r="X468" i="7"/>
  <c r="X456" i="7"/>
  <c r="X444" i="7"/>
  <c r="X432" i="7"/>
  <c r="X420" i="7"/>
  <c r="X408" i="7"/>
  <c r="X396" i="7"/>
  <c r="X384" i="7"/>
  <c r="X372" i="7"/>
  <c r="X360" i="7"/>
  <c r="X348" i="7"/>
  <c r="X336" i="7"/>
  <c r="X324" i="7"/>
  <c r="X312" i="7"/>
  <c r="X300" i="7"/>
  <c r="X288" i="7"/>
  <c r="X276" i="7"/>
  <c r="X264" i="7"/>
  <c r="X252" i="7"/>
  <c r="X240" i="7"/>
  <c r="X228" i="7"/>
  <c r="X216" i="7"/>
  <c r="X204" i="7"/>
  <c r="X192" i="7"/>
  <c r="X180" i="7"/>
  <c r="X168" i="7"/>
  <c r="X156" i="7"/>
  <c r="X144" i="7"/>
  <c r="X132" i="7"/>
  <c r="X120" i="7"/>
  <c r="X108" i="7"/>
  <c r="X96" i="7"/>
  <c r="X84" i="7"/>
  <c r="X72" i="7"/>
  <c r="X60" i="7"/>
  <c r="X48" i="7"/>
  <c r="X36" i="7"/>
  <c r="X24" i="7"/>
  <c r="X12" i="7"/>
  <c r="X695" i="7"/>
  <c r="X683" i="7"/>
  <c r="X671" i="7"/>
  <c r="X659" i="7"/>
  <c r="X647" i="7"/>
  <c r="X635" i="7"/>
  <c r="X623" i="7"/>
  <c r="X611" i="7"/>
  <c r="X599" i="7"/>
  <c r="X587" i="7"/>
  <c r="X575" i="7"/>
  <c r="X563" i="7"/>
  <c r="X551" i="7"/>
  <c r="X539" i="7"/>
  <c r="X527" i="7"/>
  <c r="X515" i="7"/>
  <c r="X503" i="7"/>
  <c r="X491" i="7"/>
  <c r="X479" i="7"/>
  <c r="X467" i="7"/>
  <c r="X455" i="7"/>
  <c r="X443" i="7"/>
  <c r="X431" i="7"/>
  <c r="X419" i="7"/>
  <c r="X407" i="7"/>
  <c r="X395" i="7"/>
  <c r="X383" i="7"/>
  <c r="X371" i="7"/>
  <c r="X359" i="7"/>
  <c r="X347" i="7"/>
  <c r="X335" i="7"/>
  <c r="X323" i="7"/>
  <c r="X311" i="7"/>
  <c r="X299" i="7"/>
  <c r="X287" i="7"/>
  <c r="X275" i="7"/>
  <c r="X263" i="7"/>
  <c r="X251" i="7"/>
  <c r="X239" i="7"/>
  <c r="X227" i="7"/>
  <c r="X215" i="7"/>
  <c r="X203" i="7"/>
  <c r="X191" i="7"/>
  <c r="X179" i="7"/>
  <c r="X167" i="7"/>
  <c r="X155" i="7"/>
  <c r="X143" i="7"/>
  <c r="X131" i="7"/>
  <c r="X119" i="7"/>
  <c r="X107" i="7"/>
  <c r="X95" i="7"/>
  <c r="X83" i="7"/>
  <c r="X71" i="7"/>
  <c r="X59" i="7"/>
  <c r="X47" i="7"/>
  <c r="X35" i="7"/>
  <c r="X23" i="7"/>
  <c r="X11" i="7"/>
  <c r="X694" i="7"/>
  <c r="X682" i="7"/>
  <c r="X670" i="7"/>
  <c r="X658" i="7"/>
  <c r="X646" i="7"/>
  <c r="X634" i="7"/>
  <c r="X622" i="7"/>
  <c r="X610" i="7"/>
  <c r="X598" i="7"/>
  <c r="X586" i="7"/>
  <c r="X574" i="7"/>
  <c r="X562" i="7"/>
  <c r="X550" i="7"/>
  <c r="X538" i="7"/>
  <c r="X526" i="7"/>
  <c r="X514" i="7"/>
  <c r="X502" i="7"/>
  <c r="X490" i="7"/>
  <c r="X478" i="7"/>
  <c r="X466" i="7"/>
  <c r="X454" i="7"/>
  <c r="X442" i="7"/>
  <c r="X430" i="7"/>
  <c r="X418" i="7"/>
  <c r="X406" i="7"/>
  <c r="X394" i="7"/>
  <c r="X382" i="7"/>
  <c r="X370" i="7"/>
  <c r="X358" i="7"/>
  <c r="X346" i="7"/>
  <c r="X334" i="7"/>
  <c r="X322" i="7"/>
  <c r="X310" i="7"/>
  <c r="X298" i="7"/>
  <c r="X286" i="7"/>
  <c r="X274" i="7"/>
  <c r="X262" i="7"/>
  <c r="X250" i="7"/>
  <c r="X238" i="7"/>
  <c r="X226" i="7"/>
  <c r="X214" i="7"/>
  <c r="X202" i="7"/>
  <c r="X190" i="7"/>
  <c r="X178" i="7"/>
  <c r="X166" i="7"/>
  <c r="X154" i="7"/>
  <c r="X142" i="7"/>
  <c r="X130" i="7"/>
  <c r="X118" i="7"/>
  <c r="X106" i="7"/>
  <c r="X94" i="7"/>
  <c r="X82" i="7"/>
  <c r="X70" i="7"/>
  <c r="X58" i="7"/>
  <c r="X46" i="7"/>
  <c r="X34" i="7"/>
  <c r="X22" i="7"/>
  <c r="X10" i="7"/>
  <c r="X692" i="7"/>
  <c r="X680" i="7"/>
  <c r="X668" i="7"/>
  <c r="X656" i="7"/>
  <c r="X644" i="7"/>
  <c r="X632" i="7"/>
  <c r="X620" i="7"/>
  <c r="X608" i="7"/>
  <c r="X596" i="7"/>
  <c r="X584" i="7"/>
  <c r="X572" i="7"/>
  <c r="X560" i="7"/>
  <c r="X548" i="7"/>
  <c r="X536" i="7"/>
  <c r="X524" i="7"/>
  <c r="X512" i="7"/>
  <c r="X500" i="7"/>
  <c r="X488" i="7"/>
  <c r="X476" i="7"/>
  <c r="X464" i="7"/>
  <c r="X452" i="7"/>
  <c r="X440" i="7"/>
  <c r="X428" i="7"/>
  <c r="X416" i="7"/>
  <c r="X404" i="7"/>
  <c r="X392" i="7"/>
  <c r="X380" i="7"/>
  <c r="X368" i="7"/>
  <c r="X356" i="7"/>
  <c r="X344" i="7"/>
  <c r="X332" i="7"/>
  <c r="X320" i="7"/>
  <c r="X308" i="7"/>
  <c r="X296" i="7"/>
  <c r="X284" i="7"/>
  <c r="X272" i="7"/>
  <c r="X260" i="7"/>
  <c r="X248" i="7"/>
  <c r="X236" i="7"/>
  <c r="X224" i="7"/>
  <c r="X212" i="7"/>
  <c r="X200" i="7"/>
  <c r="X188" i="7"/>
  <c r="X176" i="7"/>
  <c r="X164" i="7"/>
  <c r="X152" i="7"/>
  <c r="X140" i="7"/>
  <c r="X128" i="7"/>
  <c r="X116" i="7"/>
  <c r="X104" i="7"/>
  <c r="X92" i="7"/>
  <c r="X80" i="7"/>
  <c r="X68" i="7"/>
  <c r="X56" i="7"/>
  <c r="X44" i="7"/>
  <c r="X32" i="7"/>
  <c r="X20" i="7"/>
  <c r="X8" i="7"/>
  <c r="X691" i="7"/>
  <c r="X679" i="7"/>
  <c r="X667" i="7"/>
  <c r="X655" i="7"/>
  <c r="X643" i="7"/>
  <c r="X631" i="7"/>
  <c r="X619" i="7"/>
  <c r="X607" i="7"/>
  <c r="X595" i="7"/>
  <c r="X583" i="7"/>
  <c r="X571" i="7"/>
  <c r="X559" i="7"/>
  <c r="X547" i="7"/>
  <c r="X535" i="7"/>
  <c r="X523" i="7"/>
  <c r="X511" i="7"/>
  <c r="X499" i="7"/>
  <c r="X487" i="7"/>
  <c r="X475" i="7"/>
  <c r="X463" i="7"/>
  <c r="X451" i="7"/>
  <c r="X439" i="7"/>
  <c r="X427" i="7"/>
  <c r="X415" i="7"/>
  <c r="X403" i="7"/>
  <c r="X391" i="7"/>
  <c r="X379" i="7"/>
  <c r="X367" i="7"/>
  <c r="X355" i="7"/>
  <c r="X343" i="7"/>
  <c r="X331" i="7"/>
  <c r="X319" i="7"/>
  <c r="X307" i="7"/>
  <c r="X295" i="7"/>
  <c r="X283" i="7"/>
  <c r="X271" i="7"/>
  <c r="X259" i="7"/>
  <c r="X247" i="7"/>
  <c r="X235" i="7"/>
  <c r="X223" i="7"/>
  <c r="X211" i="7"/>
  <c r="X199" i="7"/>
  <c r="X187" i="7"/>
  <c r="X175" i="7"/>
  <c r="X163" i="7"/>
  <c r="X151" i="7"/>
  <c r="X139" i="7"/>
  <c r="X127" i="7"/>
  <c r="X115" i="7"/>
  <c r="X103" i="7"/>
  <c r="X91" i="7"/>
  <c r="X79" i="7"/>
  <c r="X67" i="7"/>
  <c r="X55" i="7"/>
  <c r="X43" i="7"/>
  <c r="X31" i="7"/>
  <c r="X19" i="7"/>
  <c r="X7" i="7"/>
  <c r="X690" i="7"/>
  <c r="X678" i="7"/>
  <c r="X666" i="7"/>
  <c r="X654" i="7"/>
  <c r="X642" i="7"/>
  <c r="X630" i="7"/>
  <c r="X618" i="7"/>
  <c r="X606" i="7"/>
  <c r="X594" i="7"/>
  <c r="X582" i="7"/>
  <c r="X570" i="7"/>
  <c r="X558" i="7"/>
  <c r="X546" i="7"/>
  <c r="X534" i="7"/>
  <c r="X522" i="7"/>
  <c r="X510" i="7"/>
  <c r="X498" i="7"/>
  <c r="X486" i="7"/>
  <c r="X474" i="7"/>
  <c r="X462" i="7"/>
  <c r="X450" i="7"/>
  <c r="X438" i="7"/>
  <c r="X426" i="7"/>
  <c r="X414" i="7"/>
  <c r="X402" i="7"/>
  <c r="X390" i="7"/>
  <c r="X378" i="7"/>
  <c r="X366" i="7"/>
  <c r="X354" i="7"/>
  <c r="X342" i="7"/>
  <c r="X330" i="7"/>
  <c r="X318" i="7"/>
  <c r="X306" i="7"/>
  <c r="X294" i="7"/>
  <c r="X282" i="7"/>
  <c r="X270" i="7"/>
  <c r="X258" i="7"/>
  <c r="X246" i="7"/>
  <c r="X234" i="7"/>
  <c r="X222" i="7"/>
  <c r="X210" i="7"/>
  <c r="X198" i="7"/>
  <c r="X186" i="7"/>
  <c r="X174" i="7"/>
  <c r="X162" i="7"/>
  <c r="X150" i="7"/>
  <c r="X138" i="7"/>
  <c r="X126" i="7"/>
  <c r="X114" i="7"/>
  <c r="X102" i="7"/>
  <c r="X90" i="7"/>
  <c r="X78" i="7"/>
  <c r="X66" i="7"/>
  <c r="X54" i="7"/>
  <c r="X42" i="7"/>
  <c r="X30" i="7"/>
  <c r="X18" i="7"/>
  <c r="X6" i="7"/>
  <c r="X701" i="7"/>
  <c r="X689" i="7"/>
  <c r="X677" i="7"/>
  <c r="X665" i="7"/>
  <c r="X653" i="7"/>
  <c r="X641" i="7"/>
  <c r="X629" i="7"/>
  <c r="X617" i="7"/>
  <c r="X605" i="7"/>
  <c r="X593" i="7"/>
  <c r="X581" i="7"/>
  <c r="X569" i="7"/>
  <c r="X557" i="7"/>
  <c r="X545" i="7"/>
  <c r="X533" i="7"/>
  <c r="X521" i="7"/>
  <c r="X509" i="7"/>
  <c r="X497" i="7"/>
  <c r="X485" i="7"/>
  <c r="X473" i="7"/>
  <c r="X461" i="7"/>
  <c r="X449" i="7"/>
  <c r="X437" i="7"/>
  <c r="X425" i="7"/>
  <c r="X413" i="7"/>
  <c r="X401" i="7"/>
  <c r="X389" i="7"/>
  <c r="X377" i="7"/>
  <c r="X365" i="7"/>
  <c r="X353" i="7"/>
  <c r="X341" i="7"/>
  <c r="X329" i="7"/>
  <c r="X317" i="7"/>
  <c r="X305" i="7"/>
  <c r="X293" i="7"/>
  <c r="X281" i="7"/>
  <c r="X269" i="7"/>
  <c r="X257" i="7"/>
  <c r="X245" i="7"/>
  <c r="X233" i="7"/>
  <c r="X221" i="7"/>
  <c r="X209" i="7"/>
  <c r="X197" i="7"/>
  <c r="X185" i="7"/>
  <c r="X173" i="7"/>
  <c r="X161" i="7"/>
  <c r="X149" i="7"/>
  <c r="X137" i="7"/>
  <c r="X125" i="7"/>
  <c r="X113" i="7"/>
  <c r="X101" i="7"/>
  <c r="X89" i="7"/>
  <c r="X77" i="7"/>
  <c r="X65" i="7"/>
  <c r="X53" i="7"/>
  <c r="X41" i="7"/>
  <c r="X29" i="7"/>
  <c r="X17" i="7"/>
  <c r="X5" i="7"/>
  <c r="X700" i="7"/>
  <c r="X688" i="7"/>
  <c r="X676" i="7"/>
  <c r="X664" i="7"/>
  <c r="X652" i="7"/>
  <c r="X640" i="7"/>
  <c r="X628" i="7"/>
  <c r="X616" i="7"/>
  <c r="X604" i="7"/>
  <c r="X592" i="7"/>
  <c r="X580" i="7"/>
  <c r="X568" i="7"/>
  <c r="X556" i="7"/>
  <c r="X544" i="7"/>
  <c r="X532" i="7"/>
  <c r="X520" i="7"/>
  <c r="X508" i="7"/>
  <c r="X496" i="7"/>
  <c r="X484" i="7"/>
  <c r="X472" i="7"/>
  <c r="X460" i="7"/>
  <c r="X448" i="7"/>
  <c r="X436" i="7"/>
  <c r="X424" i="7"/>
  <c r="X412" i="7"/>
  <c r="X400" i="7"/>
  <c r="X388" i="7"/>
  <c r="X376" i="7"/>
  <c r="X364" i="7"/>
  <c r="X352" i="7"/>
  <c r="X340" i="7"/>
  <c r="X328" i="7"/>
  <c r="X316" i="7"/>
  <c r="X304" i="7"/>
  <c r="X292" i="7"/>
  <c r="X280" i="7"/>
  <c r="X268" i="7"/>
  <c r="X256" i="7"/>
  <c r="X244" i="7"/>
  <c r="X232" i="7"/>
  <c r="X220" i="7"/>
  <c r="X208" i="7"/>
  <c r="X196" i="7"/>
  <c r="X184" i="7"/>
  <c r="X172" i="7"/>
  <c r="X160" i="7"/>
  <c r="X148" i="7"/>
  <c r="X136" i="7"/>
  <c r="X124" i="7"/>
  <c r="X112" i="7"/>
  <c r="X100" i="7"/>
  <c r="X88" i="7"/>
  <c r="X76" i="7"/>
  <c r="X64" i="7"/>
  <c r="X52" i="7"/>
  <c r="X40" i="7"/>
  <c r="X28" i="7"/>
  <c r="X16" i="7"/>
  <c r="X4" i="7"/>
  <c r="X699" i="7"/>
  <c r="X687" i="7"/>
  <c r="X675" i="7"/>
  <c r="X663" i="7"/>
  <c r="X651" i="7"/>
  <c r="X639" i="7"/>
  <c r="X627" i="7"/>
  <c r="X615" i="7"/>
  <c r="X603" i="7"/>
  <c r="X591" i="7"/>
  <c r="X579" i="7"/>
  <c r="X567" i="7"/>
  <c r="X555" i="7"/>
  <c r="X543" i="7"/>
  <c r="X531" i="7"/>
  <c r="X519" i="7"/>
  <c r="X507" i="7"/>
  <c r="X495" i="7"/>
  <c r="X483" i="7"/>
  <c r="X471" i="7"/>
  <c r="X459" i="7"/>
  <c r="X447" i="7"/>
  <c r="X435" i="7"/>
  <c r="X423" i="7"/>
  <c r="X411" i="7"/>
  <c r="X399" i="7"/>
  <c r="X387" i="7"/>
  <c r="X375" i="7"/>
  <c r="X363" i="7"/>
  <c r="X351" i="7"/>
  <c r="X339" i="7"/>
  <c r="X327" i="7"/>
  <c r="X315" i="7"/>
  <c r="X303" i="7"/>
  <c r="X291" i="7"/>
  <c r="X279" i="7"/>
  <c r="X267" i="7"/>
  <c r="X255" i="7"/>
  <c r="X243" i="7"/>
  <c r="X231" i="7"/>
  <c r="X219" i="7"/>
  <c r="X207" i="7"/>
  <c r="X195" i="7"/>
  <c r="X183" i="7"/>
  <c r="X171" i="7"/>
  <c r="X159" i="7"/>
  <c r="X147" i="7"/>
  <c r="X135" i="7"/>
  <c r="X123" i="7"/>
  <c r="X111" i="7"/>
  <c r="X99" i="7"/>
  <c r="X87" i="7"/>
  <c r="X75" i="7"/>
  <c r="X63" i="7"/>
  <c r="X51" i="7"/>
  <c r="X39" i="7"/>
  <c r="X27" i="7"/>
  <c r="X15" i="7"/>
  <c r="X3" i="7"/>
  <c r="X698" i="7"/>
  <c r="X686" i="7"/>
  <c r="X674" i="7"/>
  <c r="X662" i="7"/>
  <c r="X650" i="7"/>
  <c r="X638" i="7"/>
  <c r="X626" i="7"/>
  <c r="X614" i="7"/>
  <c r="X602" i="7"/>
  <c r="X590" i="7"/>
  <c r="X578" i="7"/>
  <c r="X566" i="7"/>
  <c r="X554" i="7"/>
  <c r="X542" i="7"/>
  <c r="X530" i="7"/>
  <c r="X518" i="7"/>
  <c r="X506" i="7"/>
  <c r="X494" i="7"/>
  <c r="X482" i="7"/>
  <c r="X470" i="7"/>
  <c r="X458" i="7"/>
  <c r="X446" i="7"/>
  <c r="X434" i="7"/>
  <c r="X422" i="7"/>
  <c r="X410" i="7"/>
  <c r="X398" i="7"/>
  <c r="X386" i="7"/>
  <c r="X374" i="7"/>
  <c r="X362" i="7"/>
  <c r="X350" i="7"/>
  <c r="X338" i="7"/>
  <c r="X326" i="7"/>
  <c r="X314" i="7"/>
  <c r="X302" i="7"/>
  <c r="X290" i="7"/>
  <c r="X278" i="7"/>
  <c r="X266" i="7"/>
  <c r="X254" i="7"/>
  <c r="X242" i="7"/>
  <c r="X230" i="7"/>
  <c r="X218" i="7"/>
  <c r="X206" i="7"/>
  <c r="X194" i="7"/>
  <c r="X182" i="7"/>
  <c r="X170" i="7"/>
  <c r="X158" i="7"/>
  <c r="X146" i="7"/>
  <c r="X134" i="7"/>
  <c r="X122" i="7"/>
  <c r="X110" i="7"/>
  <c r="X98" i="7"/>
  <c r="X86" i="7"/>
  <c r="X74" i="7"/>
  <c r="X62" i="7"/>
  <c r="X50" i="7"/>
  <c r="X38" i="7"/>
  <c r="X26" i="7"/>
  <c r="X14" i="7"/>
  <c r="X2" i="7"/>
  <c r="T129" i="7"/>
  <c r="U129" i="7" s="1"/>
  <c r="T105" i="7"/>
  <c r="U105" i="7" s="1"/>
  <c r="T57" i="7"/>
  <c r="U57" i="7" s="1"/>
  <c r="T45" i="7"/>
  <c r="U45" i="7" s="1"/>
  <c r="T33" i="7"/>
  <c r="U33" i="7" s="1"/>
  <c r="T649" i="7"/>
  <c r="U649" i="7" s="1"/>
  <c r="T625" i="7"/>
  <c r="U625" i="7" s="1"/>
  <c r="T613" i="7"/>
  <c r="U613" i="7" s="1"/>
  <c r="T601" i="7"/>
  <c r="U601" i="7" s="1"/>
  <c r="T589" i="7"/>
  <c r="U589" i="7" s="1"/>
  <c r="T577" i="7"/>
  <c r="U577" i="7" s="1"/>
  <c r="T565" i="7"/>
  <c r="U565" i="7" s="1"/>
  <c r="T553" i="7"/>
  <c r="U553" i="7" s="1"/>
  <c r="T541" i="7"/>
  <c r="U541" i="7" s="1"/>
  <c r="T529" i="7"/>
  <c r="U529" i="7" s="1"/>
  <c r="T517" i="7"/>
  <c r="U517" i="7" s="1"/>
  <c r="T505" i="7"/>
  <c r="U505" i="7" s="1"/>
  <c r="T493" i="7"/>
  <c r="U493" i="7" s="1"/>
  <c r="T481" i="7"/>
  <c r="U481" i="7" s="1"/>
  <c r="T469" i="7"/>
  <c r="U469" i="7" s="1"/>
  <c r="T457" i="7"/>
  <c r="U457" i="7" s="1"/>
  <c r="T445" i="7"/>
  <c r="U445" i="7" s="1"/>
  <c r="T433" i="7"/>
  <c r="U433" i="7" s="1"/>
  <c r="T421" i="7"/>
  <c r="U421" i="7" s="1"/>
  <c r="T409" i="7"/>
  <c r="U409" i="7" s="1"/>
  <c r="T397" i="7"/>
  <c r="U397" i="7" s="1"/>
  <c r="T385" i="7"/>
  <c r="U385" i="7" s="1"/>
  <c r="T373" i="7"/>
  <c r="U373" i="7" s="1"/>
  <c r="T361" i="7"/>
  <c r="U361" i="7" s="1"/>
  <c r="T349" i="7"/>
  <c r="U349" i="7" s="1"/>
  <c r="T337" i="7"/>
  <c r="U337" i="7" s="1"/>
  <c r="T325" i="7"/>
  <c r="U325" i="7" s="1"/>
  <c r="T313" i="7"/>
  <c r="U313" i="7" s="1"/>
  <c r="T301" i="7"/>
  <c r="U301" i="7" s="1"/>
  <c r="T289" i="7"/>
  <c r="U289" i="7" s="1"/>
  <c r="T277" i="7"/>
  <c r="U277" i="7" s="1"/>
  <c r="T265" i="7"/>
  <c r="U265" i="7" s="1"/>
  <c r="T253" i="7"/>
  <c r="U253" i="7" s="1"/>
  <c r="T241" i="7"/>
  <c r="U241" i="7" s="1"/>
  <c r="T229" i="7"/>
  <c r="U229" i="7" s="1"/>
  <c r="T217" i="7"/>
  <c r="U217" i="7" s="1"/>
  <c r="T205" i="7"/>
  <c r="U205" i="7" s="1"/>
  <c r="T193" i="7"/>
  <c r="U193" i="7" s="1"/>
  <c r="T181" i="7"/>
  <c r="U181" i="7" s="1"/>
  <c r="T169" i="7"/>
  <c r="U169" i="7" s="1"/>
  <c r="T157" i="7"/>
  <c r="U157" i="7" s="1"/>
  <c r="T145" i="7"/>
  <c r="U145" i="7" s="1"/>
  <c r="T133" i="7"/>
  <c r="U133" i="7" s="1"/>
  <c r="T121" i="7"/>
  <c r="U121" i="7" s="1"/>
  <c r="T109" i="7"/>
  <c r="U109" i="7" s="1"/>
  <c r="T97" i="7"/>
  <c r="U97" i="7" s="1"/>
  <c r="T85" i="7"/>
  <c r="U85" i="7" s="1"/>
  <c r="T73" i="7"/>
  <c r="U73" i="7" s="1"/>
  <c r="T61" i="7"/>
  <c r="U61" i="7" s="1"/>
  <c r="T49" i="7"/>
  <c r="U49" i="7" s="1"/>
  <c r="T37" i="7"/>
  <c r="U37" i="7" s="1"/>
  <c r="T25" i="7"/>
  <c r="U25" i="7" s="1"/>
  <c r="T13" i="7"/>
  <c r="U13" i="7" s="1"/>
  <c r="T697" i="7"/>
  <c r="U697" i="7" s="1"/>
  <c r="T661" i="7"/>
  <c r="U661" i="7" s="1"/>
  <c r="T660" i="7"/>
  <c r="U660" i="7" s="1"/>
  <c r="T624" i="7"/>
  <c r="U624" i="7" s="1"/>
  <c r="T588" i="7"/>
  <c r="U588" i="7" s="1"/>
  <c r="T552" i="7"/>
  <c r="U552" i="7" s="1"/>
  <c r="T528" i="7"/>
  <c r="U528" i="7" s="1"/>
  <c r="T504" i="7"/>
  <c r="U504" i="7" s="1"/>
  <c r="T492" i="7"/>
  <c r="U492" i="7" s="1"/>
  <c r="T480" i="7"/>
  <c r="U480" i="7" s="1"/>
  <c r="T468" i="7"/>
  <c r="U468" i="7" s="1"/>
  <c r="T456" i="7"/>
  <c r="U456" i="7" s="1"/>
  <c r="T444" i="7"/>
  <c r="U444" i="7" s="1"/>
  <c r="T432" i="7"/>
  <c r="U432" i="7" s="1"/>
  <c r="T420" i="7"/>
  <c r="U420" i="7" s="1"/>
  <c r="T408" i="7"/>
  <c r="U408" i="7" s="1"/>
  <c r="T396" i="7"/>
  <c r="U396" i="7" s="1"/>
  <c r="T384" i="7"/>
  <c r="U384" i="7" s="1"/>
  <c r="T372" i="7"/>
  <c r="U372" i="7" s="1"/>
  <c r="T360" i="7"/>
  <c r="U360" i="7" s="1"/>
  <c r="T348" i="7"/>
  <c r="U348" i="7" s="1"/>
  <c r="T336" i="7"/>
  <c r="U336" i="7" s="1"/>
  <c r="T324" i="7"/>
  <c r="U324" i="7" s="1"/>
  <c r="T312" i="7"/>
  <c r="U312" i="7" s="1"/>
  <c r="T300" i="7"/>
  <c r="U300" i="7" s="1"/>
  <c r="T288" i="7"/>
  <c r="U288" i="7" s="1"/>
  <c r="T276" i="7"/>
  <c r="U276" i="7" s="1"/>
  <c r="T264" i="7"/>
  <c r="U264" i="7" s="1"/>
  <c r="T252" i="7"/>
  <c r="U252" i="7" s="1"/>
  <c r="T240" i="7"/>
  <c r="U240" i="7" s="1"/>
  <c r="T228" i="7"/>
  <c r="U228" i="7" s="1"/>
  <c r="T216" i="7"/>
  <c r="U216" i="7" s="1"/>
  <c r="T204" i="7"/>
  <c r="U204" i="7" s="1"/>
  <c r="T192" i="7"/>
  <c r="U192" i="7" s="1"/>
  <c r="T180" i="7"/>
  <c r="U180" i="7" s="1"/>
  <c r="T168" i="7"/>
  <c r="U168" i="7" s="1"/>
  <c r="T156" i="7"/>
  <c r="U156" i="7" s="1"/>
  <c r="T144" i="7"/>
  <c r="U144" i="7" s="1"/>
  <c r="T132" i="7"/>
  <c r="U132" i="7" s="1"/>
  <c r="T120" i="7"/>
  <c r="U120" i="7" s="1"/>
  <c r="T108" i="7"/>
  <c r="U108" i="7" s="1"/>
  <c r="T96" i="7"/>
  <c r="U96" i="7" s="1"/>
  <c r="T84" i="7"/>
  <c r="U84" i="7" s="1"/>
  <c r="T72" i="7"/>
  <c r="U72" i="7" s="1"/>
  <c r="T60" i="7"/>
  <c r="U60" i="7" s="1"/>
  <c r="T48" i="7"/>
  <c r="U48" i="7" s="1"/>
  <c r="T36" i="7"/>
  <c r="U36" i="7" s="1"/>
  <c r="T24" i="7"/>
  <c r="U24" i="7" s="1"/>
  <c r="T12" i="7"/>
  <c r="U12" i="7" s="1"/>
  <c r="T685" i="7"/>
  <c r="U685" i="7" s="1"/>
  <c r="T637" i="7"/>
  <c r="U637" i="7" s="1"/>
  <c r="T684" i="7"/>
  <c r="U684" i="7" s="1"/>
  <c r="T636" i="7"/>
  <c r="U636" i="7" s="1"/>
  <c r="T600" i="7"/>
  <c r="U600" i="7" s="1"/>
  <c r="T540" i="7"/>
  <c r="U540" i="7" s="1"/>
  <c r="T673" i="7"/>
  <c r="U673" i="7" s="1"/>
  <c r="T696" i="7"/>
  <c r="U696" i="7" s="1"/>
  <c r="T672" i="7"/>
  <c r="U672" i="7" s="1"/>
  <c r="T648" i="7"/>
  <c r="U648" i="7" s="1"/>
  <c r="T612" i="7"/>
  <c r="U612" i="7" s="1"/>
  <c r="T576" i="7"/>
  <c r="U576" i="7" s="1"/>
  <c r="T564" i="7"/>
  <c r="U564" i="7" s="1"/>
  <c r="T516" i="7"/>
  <c r="U516" i="7" s="1"/>
  <c r="U695" i="7"/>
  <c r="U683" i="7"/>
  <c r="U671" i="7"/>
  <c r="U659" i="7"/>
  <c r="U647" i="7"/>
  <c r="U635" i="7"/>
  <c r="U623" i="7"/>
  <c r="U611" i="7"/>
  <c r="U599" i="7"/>
  <c r="U587" i="7"/>
  <c r="U575" i="7"/>
  <c r="U563" i="7"/>
  <c r="U551" i="7"/>
  <c r="U539" i="7"/>
  <c r="U527" i="7"/>
  <c r="U515" i="7"/>
  <c r="U503" i="7"/>
  <c r="U491" i="7"/>
  <c r="U479" i="7"/>
  <c r="U467" i="7"/>
  <c r="U455" i="7"/>
  <c r="U443" i="7"/>
  <c r="U431" i="7"/>
  <c r="U419" i="7"/>
  <c r="U407" i="7"/>
  <c r="U395" i="7"/>
  <c r="U383" i="7"/>
  <c r="U371" i="7"/>
  <c r="U359" i="7"/>
  <c r="U347" i="7"/>
  <c r="U335" i="7"/>
  <c r="U323" i="7"/>
  <c r="U311" i="7"/>
  <c r="U299" i="7"/>
  <c r="U287" i="7"/>
  <c r="U275" i="7"/>
  <c r="U263" i="7"/>
  <c r="U251" i="7"/>
  <c r="U239" i="7"/>
  <c r="U227" i="7"/>
  <c r="U215" i="7"/>
  <c r="U203" i="7"/>
  <c r="U191" i="7"/>
  <c r="U179" i="7"/>
  <c r="U167" i="7"/>
  <c r="U155" i="7"/>
  <c r="U143" i="7"/>
  <c r="U131" i="7"/>
  <c r="U119" i="7"/>
  <c r="U107" i="7"/>
  <c r="U95" i="7"/>
  <c r="U83" i="7"/>
  <c r="U71" i="7"/>
  <c r="U59" i="7"/>
  <c r="U47" i="7"/>
  <c r="U35" i="7"/>
  <c r="U23" i="7"/>
  <c r="U11" i="7"/>
  <c r="U694" i="7"/>
  <c r="U682" i="7"/>
  <c r="U670" i="7"/>
  <c r="U658" i="7"/>
  <c r="U646" i="7"/>
  <c r="U634" i="7"/>
  <c r="U622" i="7"/>
  <c r="U610" i="7"/>
  <c r="U598" i="7"/>
  <c r="U586" i="7"/>
  <c r="U574" i="7"/>
  <c r="U562" i="7"/>
  <c r="U550" i="7"/>
  <c r="U538" i="7"/>
  <c r="U526" i="7"/>
  <c r="U514" i="7"/>
  <c r="U502" i="7"/>
  <c r="U490" i="7"/>
  <c r="U478" i="7"/>
  <c r="U466" i="7"/>
  <c r="U454" i="7"/>
  <c r="U442" i="7"/>
  <c r="U430" i="7"/>
  <c r="U418" i="7"/>
  <c r="U406" i="7"/>
  <c r="U394" i="7"/>
  <c r="U382" i="7"/>
  <c r="U370" i="7"/>
  <c r="U358" i="7"/>
  <c r="U346" i="7"/>
  <c r="U334" i="7"/>
  <c r="U322" i="7"/>
  <c r="U310" i="7"/>
  <c r="U298" i="7"/>
  <c r="U286" i="7"/>
  <c r="U274" i="7"/>
  <c r="U262" i="7"/>
  <c r="U250" i="7"/>
  <c r="U238" i="7"/>
  <c r="U226" i="7"/>
  <c r="U214" i="7"/>
  <c r="U202" i="7"/>
  <c r="U190" i="7"/>
  <c r="U178" i="7"/>
  <c r="U166" i="7"/>
  <c r="U154" i="7"/>
  <c r="U142" i="7"/>
  <c r="U130" i="7"/>
  <c r="U118" i="7"/>
  <c r="U106" i="7"/>
  <c r="U94" i="7"/>
  <c r="U82" i="7"/>
  <c r="U70" i="7"/>
  <c r="U58" i="7"/>
  <c r="U46" i="7"/>
  <c r="U34" i="7"/>
  <c r="U22" i="7"/>
  <c r="U10" i="7"/>
  <c r="U681" i="7"/>
  <c r="U657" i="7"/>
  <c r="U633" i="7"/>
  <c r="U609" i="7"/>
  <c r="U585" i="7"/>
  <c r="U489" i="7"/>
  <c r="U477" i="7"/>
  <c r="U465" i="7"/>
  <c r="U453" i="7"/>
  <c r="U429" i="7"/>
  <c r="U417" i="7"/>
  <c r="U309" i="7"/>
  <c r="U297" i="7"/>
  <c r="U285" i="7"/>
  <c r="U273" i="7"/>
  <c r="U249" i="7"/>
  <c r="U237" i="7"/>
  <c r="U201" i="7"/>
  <c r="U692" i="7"/>
  <c r="U680" i="7"/>
  <c r="U668" i="7"/>
  <c r="U656" i="7"/>
  <c r="U644" i="7"/>
  <c r="U632" i="7"/>
  <c r="U620" i="7"/>
  <c r="U608" i="7"/>
  <c r="U596" i="7"/>
  <c r="U584" i="7"/>
  <c r="U572" i="7"/>
  <c r="U560" i="7"/>
  <c r="U548" i="7"/>
  <c r="U536" i="7"/>
  <c r="U524" i="7"/>
  <c r="U512" i="7"/>
  <c r="U500" i="7"/>
  <c r="U488" i="7"/>
  <c r="U476" i="7"/>
  <c r="U464" i="7"/>
  <c r="U452" i="7"/>
  <c r="U440" i="7"/>
  <c r="U428" i="7"/>
  <c r="U416" i="7"/>
  <c r="U404" i="7"/>
  <c r="U392" i="7"/>
  <c r="U380" i="7"/>
  <c r="U368" i="7"/>
  <c r="U356" i="7"/>
  <c r="U344" i="7"/>
  <c r="U332" i="7"/>
  <c r="U320" i="7"/>
  <c r="U308" i="7"/>
  <c r="U296" i="7"/>
  <c r="U284" i="7"/>
  <c r="U272" i="7"/>
  <c r="U260" i="7"/>
  <c r="U248" i="7"/>
  <c r="U236" i="7"/>
  <c r="U224" i="7"/>
  <c r="U212" i="7"/>
  <c r="U200" i="7"/>
  <c r="U188" i="7"/>
  <c r="U164" i="7"/>
  <c r="U152" i="7"/>
  <c r="U140" i="7"/>
  <c r="U128" i="7"/>
  <c r="U116" i="7"/>
  <c r="U104" i="7"/>
  <c r="U92" i="7"/>
  <c r="U80" i="7"/>
  <c r="U68" i="7"/>
  <c r="U56" i="7"/>
  <c r="U44" i="7"/>
  <c r="U20" i="7"/>
  <c r="U8" i="7"/>
  <c r="U691" i="7"/>
  <c r="U679" i="7"/>
  <c r="U667" i="7"/>
  <c r="U655" i="7"/>
  <c r="U643" i="7"/>
  <c r="U631" i="7"/>
  <c r="U619" i="7"/>
  <c r="U607" i="7"/>
  <c r="U595" i="7"/>
  <c r="U583" i="7"/>
  <c r="U571" i="7"/>
  <c r="U559" i="7"/>
  <c r="U547" i="7"/>
  <c r="U535" i="7"/>
  <c r="U523" i="7"/>
  <c r="U511" i="7"/>
  <c r="U499" i="7"/>
  <c r="U487" i="7"/>
  <c r="U475" i="7"/>
  <c r="U463" i="7"/>
  <c r="U451" i="7"/>
  <c r="U439" i="7"/>
  <c r="U427" i="7"/>
  <c r="U415" i="7"/>
  <c r="U403" i="7"/>
  <c r="U391" i="7"/>
  <c r="U379" i="7"/>
  <c r="U367" i="7"/>
  <c r="U355" i="7"/>
  <c r="U343" i="7"/>
  <c r="U331" i="7"/>
  <c r="U319" i="7"/>
  <c r="U307" i="7"/>
  <c r="U295" i="7"/>
  <c r="U283" i="7"/>
  <c r="U271" i="7"/>
  <c r="U259" i="7"/>
  <c r="U247" i="7"/>
  <c r="U235" i="7"/>
  <c r="U223" i="7"/>
  <c r="U211" i="7"/>
  <c r="U199" i="7"/>
  <c r="U187" i="7"/>
  <c r="U175" i="7"/>
  <c r="U163" i="7"/>
  <c r="U151" i="7"/>
  <c r="U139" i="7"/>
  <c r="U127" i="7"/>
  <c r="U115" i="7"/>
  <c r="U103" i="7"/>
  <c r="U91" i="7"/>
  <c r="U79" i="7"/>
  <c r="U67" i="7"/>
  <c r="U55" i="7"/>
  <c r="U43" i="7"/>
  <c r="U31" i="7"/>
  <c r="U19" i="7"/>
  <c r="U7" i="7"/>
  <c r="U690" i="7"/>
  <c r="U678" i="7"/>
  <c r="U666" i="7"/>
  <c r="U654" i="7"/>
  <c r="U642" i="7"/>
  <c r="U630" i="7"/>
  <c r="U618" i="7"/>
  <c r="U606" i="7"/>
  <c r="U594" i="7"/>
  <c r="U582" i="7"/>
  <c r="U570" i="7"/>
  <c r="U558" i="7"/>
  <c r="U546" i="7"/>
  <c r="U534" i="7"/>
  <c r="U522" i="7"/>
  <c r="U510" i="7"/>
  <c r="U498" i="7"/>
  <c r="U486" i="7"/>
  <c r="U474" i="7"/>
  <c r="U462" i="7"/>
  <c r="U450" i="7"/>
  <c r="U438" i="7"/>
  <c r="U426" i="7"/>
  <c r="U414" i="7"/>
  <c r="U402" i="7"/>
  <c r="U390" i="7"/>
  <c r="U378" i="7"/>
  <c r="U366" i="7"/>
  <c r="U354" i="7"/>
  <c r="U342" i="7"/>
  <c r="U330" i="7"/>
  <c r="U318" i="7"/>
  <c r="U306" i="7"/>
  <c r="U294" i="7"/>
  <c r="U282" i="7"/>
  <c r="U270" i="7"/>
  <c r="U258" i="7"/>
  <c r="U246" i="7"/>
  <c r="U234" i="7"/>
  <c r="U222" i="7"/>
  <c r="U210" i="7"/>
  <c r="U198" i="7"/>
  <c r="U186" i="7"/>
  <c r="U174" i="7"/>
  <c r="U162" i="7"/>
  <c r="U150" i="7"/>
  <c r="U138" i="7"/>
  <c r="U126" i="7"/>
  <c r="U114" i="7"/>
  <c r="U102" i="7"/>
  <c r="U90" i="7"/>
  <c r="U78" i="7"/>
  <c r="U66" i="7"/>
  <c r="U54" i="7"/>
  <c r="U42" i="7"/>
  <c r="U30" i="7"/>
  <c r="U18" i="7"/>
  <c r="U6" i="7"/>
  <c r="U701" i="7"/>
  <c r="U689" i="7"/>
  <c r="U677" i="7"/>
  <c r="U665" i="7"/>
  <c r="U653" i="7"/>
  <c r="U641" i="7"/>
  <c r="U629" i="7"/>
  <c r="U617" i="7"/>
  <c r="U605" i="7"/>
  <c r="U593" i="7"/>
  <c r="U581" i="7"/>
  <c r="U569" i="7"/>
  <c r="U557" i="7"/>
  <c r="U545" i="7"/>
  <c r="U533" i="7"/>
  <c r="U521" i="7"/>
  <c r="U509" i="7"/>
  <c r="U497" i="7"/>
  <c r="U485" i="7"/>
  <c r="U473" i="7"/>
  <c r="U461" i="7"/>
  <c r="U449" i="7"/>
  <c r="U437" i="7"/>
  <c r="U425" i="7"/>
  <c r="U413" i="7"/>
  <c r="U401" i="7"/>
  <c r="U389" i="7"/>
  <c r="U377" i="7"/>
  <c r="U365" i="7"/>
  <c r="U353" i="7"/>
  <c r="U341" i="7"/>
  <c r="U329" i="7"/>
  <c r="U317" i="7"/>
  <c r="U305" i="7"/>
  <c r="U293" i="7"/>
  <c r="U281" i="7"/>
  <c r="U269" i="7"/>
  <c r="U257" i="7"/>
  <c r="U245" i="7"/>
  <c r="U233" i="7"/>
  <c r="U221" i="7"/>
  <c r="U209" i="7"/>
  <c r="U197" i="7"/>
  <c r="U185" i="7"/>
  <c r="U173" i="7"/>
  <c r="U161" i="7"/>
  <c r="U149" i="7"/>
  <c r="U137" i="7"/>
  <c r="U125" i="7"/>
  <c r="U113" i="7"/>
  <c r="U101" i="7"/>
  <c r="U89" i="7"/>
  <c r="U77" i="7"/>
  <c r="U65" i="7"/>
  <c r="U53" i="7"/>
  <c r="U41" i="7"/>
  <c r="U29" i="7"/>
  <c r="U17" i="7"/>
  <c r="U5" i="7"/>
  <c r="U700" i="7"/>
  <c r="U688" i="7"/>
  <c r="U676" i="7"/>
  <c r="U664" i="7"/>
  <c r="U652" i="7"/>
  <c r="U640" i="7"/>
  <c r="U628" i="7"/>
  <c r="U616" i="7"/>
  <c r="U604" i="7"/>
  <c r="U592" i="7"/>
  <c r="U580" i="7"/>
  <c r="U568" i="7"/>
  <c r="U556" i="7"/>
  <c r="U544" i="7"/>
  <c r="U532" i="7"/>
  <c r="U520" i="7"/>
  <c r="U508" i="7"/>
  <c r="U496" i="7"/>
  <c r="U484" i="7"/>
  <c r="U472" i="7"/>
  <c r="U460" i="7"/>
  <c r="U448" i="7"/>
  <c r="U436" i="7"/>
  <c r="U424" i="7"/>
  <c r="U412" i="7"/>
  <c r="U400" i="7"/>
  <c r="U388" i="7"/>
  <c r="U376" i="7"/>
  <c r="U364" i="7"/>
  <c r="U352" i="7"/>
  <c r="U340" i="7"/>
  <c r="U328" i="7"/>
  <c r="U316" i="7"/>
  <c r="U304" i="7"/>
  <c r="U292" i="7"/>
  <c r="U280" i="7"/>
  <c r="U268" i="7"/>
  <c r="U256" i="7"/>
  <c r="U244" i="7"/>
  <c r="U232" i="7"/>
  <c r="U220" i="7"/>
  <c r="U208" i="7"/>
  <c r="U196" i="7"/>
  <c r="U184" i="7"/>
  <c r="U172" i="7"/>
  <c r="U160" i="7"/>
  <c r="U148" i="7"/>
  <c r="U136" i="7"/>
  <c r="U124" i="7"/>
  <c r="U112" i="7"/>
  <c r="U100" i="7"/>
  <c r="U88" i="7"/>
  <c r="U76" i="7"/>
  <c r="U64" i="7"/>
  <c r="U52" i="7"/>
  <c r="U40" i="7"/>
  <c r="U28" i="7"/>
  <c r="U16" i="7"/>
  <c r="U4" i="7"/>
  <c r="U699" i="7"/>
  <c r="U687" i="7"/>
  <c r="U675" i="7"/>
  <c r="U663" i="7"/>
  <c r="U651" i="7"/>
  <c r="U639" i="7"/>
  <c r="U627" i="7"/>
  <c r="U615" i="7"/>
  <c r="U603" i="7"/>
  <c r="U591" i="7"/>
  <c r="U579" i="7"/>
  <c r="U567" i="7"/>
  <c r="U555" i="7"/>
  <c r="U543" i="7"/>
  <c r="U531" i="7"/>
  <c r="U519" i="7"/>
  <c r="U507" i="7"/>
  <c r="U495" i="7"/>
  <c r="U483" i="7"/>
  <c r="U471" i="7"/>
  <c r="U459" i="7"/>
  <c r="U447" i="7"/>
  <c r="U435" i="7"/>
  <c r="U423" i="7"/>
  <c r="U411" i="7"/>
  <c r="U399" i="7"/>
  <c r="U387" i="7"/>
  <c r="U375" i="7"/>
  <c r="U363" i="7"/>
  <c r="U351" i="7"/>
  <c r="U339" i="7"/>
  <c r="U327" i="7"/>
  <c r="U315" i="7"/>
  <c r="U303" i="7"/>
  <c r="U291" i="7"/>
  <c r="U279" i="7"/>
  <c r="U267" i="7"/>
  <c r="U255" i="7"/>
  <c r="U243" i="7"/>
  <c r="U231" i="7"/>
  <c r="U219" i="7"/>
  <c r="U207" i="7"/>
  <c r="U195" i="7"/>
  <c r="U183" i="7"/>
  <c r="U171" i="7"/>
  <c r="U159" i="7"/>
  <c r="U147" i="7"/>
  <c r="U135" i="7"/>
  <c r="U123" i="7"/>
  <c r="U111" i="7"/>
  <c r="U99" i="7"/>
  <c r="U87" i="7"/>
  <c r="U75" i="7"/>
  <c r="U63" i="7"/>
  <c r="U51" i="7"/>
  <c r="U39" i="7"/>
  <c r="U27" i="7"/>
  <c r="U15" i="7"/>
  <c r="U3" i="7"/>
  <c r="U698" i="7"/>
  <c r="U686" i="7"/>
  <c r="U674" i="7"/>
  <c r="U662" i="7"/>
  <c r="U650" i="7"/>
  <c r="U638" i="7"/>
  <c r="U626" i="7"/>
  <c r="U614" i="7"/>
  <c r="U602" i="7"/>
  <c r="U590" i="7"/>
  <c r="U578" i="7"/>
  <c r="U566" i="7"/>
  <c r="U554" i="7"/>
  <c r="U542" i="7"/>
  <c r="U530" i="7"/>
  <c r="U518" i="7"/>
  <c r="U506" i="7"/>
  <c r="U494" i="7"/>
  <c r="U482" i="7"/>
  <c r="U470" i="7"/>
  <c r="U458" i="7"/>
  <c r="U446" i="7"/>
  <c r="U434" i="7"/>
  <c r="U422" i="7"/>
  <c r="U410" i="7"/>
  <c r="U398" i="7"/>
  <c r="U386" i="7"/>
  <c r="U374" i="7"/>
  <c r="U362" i="7"/>
  <c r="U350" i="7"/>
  <c r="U338" i="7"/>
  <c r="U326" i="7"/>
  <c r="U314" i="7"/>
  <c r="U302" i="7"/>
  <c r="U290" i="7"/>
  <c r="U278" i="7"/>
  <c r="U266" i="7"/>
  <c r="U254" i="7"/>
  <c r="U242" i="7"/>
  <c r="U230" i="7"/>
  <c r="U218" i="7"/>
  <c r="U206" i="7"/>
  <c r="U194" i="7"/>
  <c r="U182" i="7"/>
  <c r="U170" i="7"/>
  <c r="U158" i="7"/>
  <c r="U146" i="7"/>
  <c r="U134" i="7"/>
  <c r="U122" i="7"/>
  <c r="U110" i="7"/>
  <c r="U98" i="7"/>
  <c r="U86" i="7"/>
  <c r="U74" i="7"/>
  <c r="U62" i="7"/>
  <c r="U50" i="7"/>
  <c r="U38" i="7"/>
  <c r="U26" i="7"/>
  <c r="U14" i="7"/>
  <c r="U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30821F-61FE-47F8-88D7-211AC7018639}" keepAlive="1" name="Query - financials" description="Connection to the 'financials' query in the workbook." type="5" refreshedVersion="8" background="1" saveData="1">
    <dbPr connection="Provider=Microsoft.Mashup.OleDb.1;Data Source=$Workbook$;Location=financials;Extended Properties=&quot;&quot;" command="SELECT * FROM [financials]"/>
  </connection>
</connections>
</file>

<file path=xl/sharedStrings.xml><?xml version="1.0" encoding="utf-8"?>
<sst xmlns="http://schemas.openxmlformats.org/spreadsheetml/2006/main" count="4225" uniqueCount="59">
  <si>
    <t>Year</t>
  </si>
  <si>
    <t>Discounts</t>
  </si>
  <si>
    <t>COGS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</si>
  <si>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</si>
  <si>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</si>
  <si>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</si>
  <si>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</si>
  <si>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</si>
  <si>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</si>
  <si>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</si>
  <si>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</si>
  <si>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</si>
  <si>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</si>
  <si>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</si>
  <si>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</si>
  <si>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</si>
  <si>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</si>
  <si>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</si>
  <si>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</si>
  <si>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</si>
  <si>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</si>
  <si>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</si>
  <si>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</si>
  <si>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</si>
  <si>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</si>
  <si>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</si>
  <si>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</si>
  <si>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</si>
  <si>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</si>
  <si>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</si>
  <si>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</si>
  <si>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</si>
  <si>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</si>
  <si>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</si>
  <si>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</si>
  <si>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</si>
  <si>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</si>
  <si>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</si>
  <si>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None</t>
  </si>
  <si>
    <t>Low</t>
  </si>
  <si>
    <t>Medium</t>
  </si>
  <si>
    <t>High</t>
  </si>
  <si>
    <t>Revenue</t>
  </si>
  <si>
    <t>Gross_Profit</t>
  </si>
  <si>
    <t>Net_Sales</t>
  </si>
  <si>
    <t>Gross_Sales</t>
  </si>
  <si>
    <t>Sale_Price</t>
  </si>
  <si>
    <t>Manufacturing_Price</t>
  </si>
  <si>
    <t>Units_Sold</t>
  </si>
  <si>
    <t>Discount_Band</t>
  </si>
  <si>
    <t>Month_Name</t>
  </si>
  <si>
    <t>Operating_Expenses</t>
  </si>
  <si>
    <t>Other_Income</t>
  </si>
  <si>
    <t>Net_Profit</t>
  </si>
  <si>
    <t>Total</t>
  </si>
  <si>
    <t>Profit_Margin_%</t>
  </si>
  <si>
    <t>YOY_Growth_%</t>
  </si>
  <si>
    <t>MonthYear_Key</t>
  </si>
  <si>
    <t>Prev_Year_Key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</si>
</sst>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$-409]#,##0"/>
    <numFmt numFmtId="166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164" fontId="2" fillId="0" borderId="0" xfId="0" applyNumberFormat="1" applyFont="1"/>
    <xf numFmtId="164" fontId="0" fillId="0" borderId="0" xfId="0" applyNumberFormat="1"/>
    <xf numFmtId="165" fontId="2" fillId="0" borderId="0" xfId="0" applyNumberFormat="1" applyFont="1"/>
    <xf numFmtId="165" fontId="0" fillId="0" borderId="0" xfId="0" applyNumberFormat="1"/>
    <xf numFmtId="166" fontId="2" fillId="0" borderId="0" xfId="0" applyNumberFormat="1" applyFont="1"/>
    <xf numFmtId="166" fontId="0" fillId="0" borderId="0" xfId="0" applyNumberFormat="1"/>
    <xf numFmtId="9" fontId="2" fillId="0" borderId="0" xfId="1" applyFont="1"/>
    <xf numFmtId="9" fontId="0" fillId="0" borderId="0" xfId="1" applyFont="1"/>
    <xf numFmtId="9" fontId="1" fillId="0" borderId="0" xfId="0" applyNumberFormat="1" applyFont="1"/>
    <xf numFmtId="9" fontId="0" fillId="0" borderId="0" xfId="0" applyNumberFormat="1"/>
    <xf numFmtId="10" fontId="2" fillId="0" borderId="0" xfId="1" applyNumberFormat="1" applyFont="1"/>
    <xf numFmtId="10" fontId="0" fillId="0" borderId="0" xfId="1" applyNumberFormat="1" applyFont="1"/>
    <xf numFmtId="10" fontId="1" fillId="0" borderId="0" xfId="0" applyNumberFormat="1" applyFont="1"/>
  </cellXfs>
  <cellStyles count="2">
    <cellStyle name="Normal" xfId="0" builtinId="0"/>
    <cellStyle name="Percent" xfId="1" builtinId="5"/>
  </cellStyles>
  <dxfs count="31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[$$-409]#,##0.00"/>
    </dxf>
    <dxf>
      <numFmt numFmtId="164" formatCode="[$$-409]#,##0.00"/>
    </dxf>
    <dxf>
      <numFmt numFmtId="165" formatCode="[$$-409]#,##0"/>
    </dxf>
    <dxf>
      <numFmt numFmtId="164" formatCode="[$$-409]#,##0.00"/>
    </dxf>
    <dxf>
      <numFmt numFmtId="164" formatCode="[$$-409]#,##0.0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4" formatCode="[$$-409]#,##0.00"/>
    </dxf>
    <dxf>
      <numFmt numFmtId="165" formatCode="[$$-409]#,##0"/>
    </dxf>
    <dxf>
      <numFmt numFmtId="164" formatCode="[$$-409]#,##0.00"/>
    </dxf>
    <dxf>
      <numFmt numFmtId="164" formatCode="[$$-409]#,##0.00"/>
    </dxf>
    <dxf>
      <numFmt numFmtId="165" formatCode="[$$-409]#,##0"/>
    </dxf>
    <dxf>
      <numFmt numFmtId="165" formatCode="[$$-409]#,##0"/>
    </dxf>
    <dxf>
      <numFmt numFmtId="165" formatCode="[$$-409]#,##0"/>
    </dxf>
    <dxf>
      <numFmt numFmtId="166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/>
      </font>
    </dxf>
  </dxfs>
  <tableStyles count="0" defaultTableStyle="TableStyleMedium2" defaultPivotStyle="PivotStyleLight16"/>
  <colors>
    <mruColors>
      <color rgb="FFC0FF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444B8C-2D0B-48E9-B75E-79E716C38BBE}" autoFormatId="16" applyNumberFormats="0" applyBorderFormats="0" applyFontFormats="0" applyPatternFormats="0" applyAlignmentFormats="0" applyWidthHeightFormats="0">
  <queryTableRefresh nextId="26" unboundColumnsRight="8">
    <queryTableFields count="24">
      <queryTableField id="1" name="Segment" tableColumnId="1"/>
      <queryTableField id="2" name="Country" tableColumnId="2"/>
      <queryTableField id="3" name="Product" tableColumnId="3"/>
      <queryTableField id="4" name="Discount Band" tableColumnId="4"/>
      <queryTableField id="5" name="Units Sold" tableColumnId="5"/>
      <queryTableField id="6" name="Manufacturing Price" tableColumnId="6"/>
      <queryTableField id="7" name="Sale Price" tableColumnId="7"/>
      <queryTableField id="8" name="Gross Sales" tableColumnId="8"/>
      <queryTableField id="9" name="Discounts" tableColumnId="9"/>
      <queryTableField id="10" name=" Sales" tableColumnId="10"/>
      <queryTableField id="11" name="COGS" tableColumnId="11"/>
      <queryTableField id="12" name="Profit" tableColumnId="12"/>
      <queryTableField id="13" name="Date" tableColumnId="13"/>
      <queryTableField id="14" name="Month Number" tableColumnId="14"/>
      <queryTableField id="15" name="Month Name" tableColumnId="15"/>
      <queryTableField id="16" name="Year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3" dataBound="0" tableColumnId="23"/>
      <queryTableField id="24" dataBound="0" tableColumnId="24"/>
      <queryTableField id="22" dataBound="0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FBDEEB-2FEA-41D2-B713-7A042A9F84B4}" name="tbl_financials" displayName="tbl_financials" ref="A1:X702" tableType="queryTable" totalsRowCount="1" headerRowDxfId="30">
  <autoFilter ref="A1:X701" xr:uid="{DFFBDEEB-2FEA-41D2-B713-7A042A9F84B4}"/>
  <tableColumns count="24">
    <tableColumn id="1" xr3:uid="{45AD064F-E206-4B4A-92E7-2E3E9ED9F4AF}" uniqueName="1" name="Segment" totalsRowLabel="Total" queryTableFieldId="1" dataDxfId="29"/>
    <tableColumn id="2" xr3:uid="{56054547-315B-431E-B69C-5027A256F8BB}" uniqueName="2" name="Country" queryTableFieldId="2" dataDxfId="28"/>
    <tableColumn id="3" xr3:uid="{D602FBD8-FDC8-4B72-84D0-E210375A3EF7}" uniqueName="3" name="Product" queryTableFieldId="3" dataDxfId="27"/>
    <tableColumn id="4" xr3:uid="{0FE0E011-6631-4229-B728-E661DFADAECD}" uniqueName="4" name="Discount_Band" queryTableFieldId="4" dataDxfId="26"/>
    <tableColumn id="5" xr3:uid="{828BA8BC-1793-46E8-A0CC-507673B603AF}" uniqueName="5" name="Units_Sold" queryTableFieldId="5" dataDxfId="25"/>
    <tableColumn id="6" xr3:uid="{FB1C1130-BD2B-445E-BEF4-DD75315B465F}" uniqueName="6" name="Manufacturing_Price" queryTableFieldId="6" dataDxfId="24"/>
    <tableColumn id="7" xr3:uid="{11601790-CED4-422D-98D3-1E0E653AB729}" uniqueName="7" name="Sale_Price" queryTableFieldId="7" dataDxfId="23"/>
    <tableColumn id="8" xr3:uid="{F2553AA1-05DE-4120-BB43-A771A14E81E4}" uniqueName="8" name="Gross_Sales" queryTableFieldId="8" dataDxfId="22"/>
    <tableColumn id="9" xr3:uid="{C97D393C-7D9E-4388-9FD6-4788356B451F}" uniqueName="9" name="Discounts" queryTableFieldId="9" dataDxfId="21"/>
    <tableColumn id="10" xr3:uid="{5A295238-7CFE-448F-A5B9-C75C2FDD9A1A}" uniqueName="10" name="Net_Sales" queryTableFieldId="10" dataDxfId="20"/>
    <tableColumn id="11" xr3:uid="{A24DD7C1-5D4E-4C9F-A3AE-819C9D33E22F}" uniqueName="11" name="COGS" queryTableFieldId="11" dataDxfId="19"/>
    <tableColumn id="12" xr3:uid="{AD971DE0-328C-4747-A24A-B998569582FA}" uniqueName="12" name="Gross_Profit" queryTableFieldId="12" dataDxfId="18"/>
    <tableColumn id="13" xr3:uid="{059A5E7B-04F7-4591-A4A4-719C6CE6146D}" uniqueName="13" name="Date" queryTableFieldId="13" dataDxfId="17"/>
    <tableColumn id="14" xr3:uid="{40425A37-ED3E-47E7-B8CD-2637789271B3}" uniqueName="14" name="Month Number" queryTableFieldId="14" dataDxfId="16"/>
    <tableColumn id="15" xr3:uid="{B98D66E2-6452-4C06-8255-AF90666E9692}" uniqueName="15" name="Month_Name" queryTableFieldId="15" dataDxfId="15"/>
    <tableColumn id="16" xr3:uid="{D2FE85D0-7B00-4C67-966A-73ADE0A9BD6E}" uniqueName="16" name="Year" queryTableFieldId="16" dataDxfId="14"/>
    <tableColumn id="17" xr3:uid="{72B52005-060A-4C08-A543-251D3D36ED7B}" uniqueName="17" name="Revenue" queryTableFieldId="17" dataDxfId="13">
      <calculatedColumnFormula>tbl_financials[[#This Row],[Net_Sales]]</calculatedColumnFormula>
    </tableColumn>
    <tableColumn id="18" xr3:uid="{AE2251E0-B970-45A2-B3CE-6D839F7132F2}" uniqueName="18" name="Operating_Expenses" queryTableFieldId="18" dataDxfId="12">
      <calculatedColumnFormula>ROUND(tbl_financials[[#This Row],[Revenue]]*(0.12+MOD(ROW(),7)/100),2)</calculatedColumnFormula>
    </tableColumn>
    <tableColumn id="19" xr3:uid="{2F4C44CD-5AE3-41DB-97D3-282B24C85A4C}" uniqueName="19" name="Other_Income" queryTableFieldId="19" dataDxfId="11">
      <calculatedColumnFormula>ROUND(1000+MOD(ROW()*31,9000),0)</calculatedColumnFormula>
    </tableColumn>
    <tableColumn id="20" xr3:uid="{DD9043F1-D5DA-4E87-91AF-2CFBB4C2DAC2}" uniqueName="20" name="Net_Profit" queryTableFieldId="20" dataDxfId="10" totalsRowDxfId="9">
      <calculatedColumnFormula>tbl_financials[[#This Row],[Gross_Profit]]-tbl_financials[[#This Row],[Operating_Expenses]]+tbl_financials[[#This Row],[Other_Income]]</calculatedColumnFormula>
    </tableColumn>
    <tableColumn id="21" xr3:uid="{E2A43D7C-52FD-4759-9D42-278A3A664123}" uniqueName="21" name="Profit_Margin_%" queryTableFieldId="21" totalsRowDxfId="8" dataCellStyle="Percent" totalsRowCellStyle="Percent">
      <calculatedColumnFormula>IF(tbl_financials[[#This Row],[Revenue]]=0,0,tbl_financials[[#This Row],[Net_Profit]]/tbl_financials[[#This Row],[Revenue]])</calculatedColumnFormula>
    </tableColumn>
    <tableColumn id="23" xr3:uid="{962AE993-57DD-4033-8A25-D2F1714CC20B}" uniqueName="23" name="MonthYear_Key" queryTableFieldId="23" dataDxfId="7" totalsRowDxfId="6" dataCellStyle="Percent">
      <calculatedColumnFormula>tbl_financials[[#This Row],[Month_Name]] &amp; "_" &amp; tbl_financials[[#This Row],[Year]]</calculatedColumnFormula>
    </tableColumn>
    <tableColumn id="24" xr3:uid="{8BCF098B-718E-46C8-8E26-892F9B9E0457}" uniqueName="24" name="Prev_Year_Key" queryTableFieldId="24" dataDxfId="5" totalsRowDxfId="4" dataCellStyle="Percent">
      <calculatedColumnFormula>tbl_financials[[#This Row],[Month_Name]] &amp; "_" &amp; (tbl_financials[[#This Row],[Year]]-1)</calculatedColumnFormula>
    </tableColumn>
    <tableColumn id="22" xr3:uid="{8D3411F7-9A61-457C-8A0F-494115CAE6B9}" uniqueName="22" name="YOY_Growth_%" queryTableFieldId="22" dataDxfId="3" totalsRowDxfId="2" dataCellStyle="Percent" totalsRowCellStyle="Percent">
      <calculatedColumnFormula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2E0B-7B4E-46C0-8C6D-51C0188C2B3B}">
  <dimension ref="A1:X702"/>
  <sheetViews>
    <sheetView tabSelected="1" workbookViewId="0">
      <pane ySplit="1" topLeftCell="A2" activePane="bottomLeft" state="frozen"/>
      <selection activeCell="L1" sqref="L1"/>
      <selection pane="bottomLeft" activeCell="T17" sqref="T17"/>
    </sheetView>
  </sheetViews>
  <sheetFormatPr defaultRowHeight="14.4" x14ac:dyDescent="0.3"/>
  <cols>
    <col min="1" max="1" width="14.88671875" bestFit="1" customWidth="1"/>
    <col min="2" max="2" width="21.5546875" bestFit="1" customWidth="1"/>
    <col min="3" max="3" width="9.88671875" bestFit="1" customWidth="1"/>
    <col min="4" max="4" width="15.44140625" bestFit="1" customWidth="1"/>
    <col min="5" max="5" width="11.6640625" style="9" bestFit="1" customWidth="1"/>
    <col min="6" max="6" width="20.5546875" style="7" bestFit="1" customWidth="1"/>
    <col min="7" max="7" width="12.33203125" style="7" bestFit="1" customWidth="1"/>
    <col min="8" max="8" width="12.44140625" style="7" bestFit="1" customWidth="1"/>
    <col min="9" max="10" width="18.77734375" style="5" bestFit="1" customWidth="1"/>
    <col min="11" max="11" width="11.44140625" style="7" bestFit="1" customWidth="1"/>
    <col min="12" max="12" width="18.77734375" style="5" bestFit="1" customWidth="1"/>
    <col min="13" max="13" width="18.109375" style="1" bestFit="1" customWidth="1"/>
    <col min="14" max="14" width="16.44140625" bestFit="1" customWidth="1"/>
    <col min="15" max="15" width="14.44140625" bestFit="1" customWidth="1"/>
    <col min="16" max="16" width="6.88671875" bestFit="1" customWidth="1"/>
    <col min="17" max="17" width="12.44140625" bestFit="1" customWidth="1"/>
    <col min="18" max="18" width="21.33203125" style="5" bestFit="1" customWidth="1"/>
    <col min="19" max="19" width="15.88671875" style="7" bestFit="1" customWidth="1"/>
    <col min="20" max="20" width="12.5546875" bestFit="1" customWidth="1"/>
    <col min="21" max="21" width="18.33203125" style="11" bestFit="1" customWidth="1"/>
    <col min="22" max="23" width="18.33203125" style="11" customWidth="1"/>
    <col min="24" max="24" width="17" style="15" bestFit="1" customWidth="1"/>
  </cols>
  <sheetData>
    <row r="1" spans="1:24" s="2" customFormat="1" x14ac:dyDescent="0.3">
      <c r="A1" s="2" t="s">
        <v>3</v>
      </c>
      <c r="B1" s="2" t="s">
        <v>30</v>
      </c>
      <c r="C1" s="2" t="s">
        <v>31</v>
      </c>
      <c r="D1" s="2" t="s">
        <v>49</v>
      </c>
      <c r="E1" s="8" t="s">
        <v>48</v>
      </c>
      <c r="F1" s="6" t="s">
        <v>47</v>
      </c>
      <c r="G1" s="6" t="s">
        <v>46</v>
      </c>
      <c r="H1" s="6" t="s">
        <v>45</v>
      </c>
      <c r="I1" s="4" t="s">
        <v>1</v>
      </c>
      <c r="J1" s="4" t="s">
        <v>44</v>
      </c>
      <c r="K1" s="6" t="s">
        <v>2</v>
      </c>
      <c r="L1" s="4" t="s">
        <v>43</v>
      </c>
      <c r="M1" s="3" t="s">
        <v>9</v>
      </c>
      <c r="N1" s="2" t="s">
        <v>10</v>
      </c>
      <c r="O1" s="2" t="s">
        <v>50</v>
      </c>
      <c r="P1" s="2" t="s">
        <v>0</v>
      </c>
      <c r="Q1" s="2" t="s">
        <v>42</v>
      </c>
      <c r="R1" s="4" t="s">
        <v>51</v>
      </c>
      <c r="S1" s="6" t="s">
        <v>52</v>
      </c>
      <c r="T1" s="2" t="s">
        <v>53</v>
      </c>
      <c r="U1" s="10" t="s">
        <v>55</v>
      </c>
      <c r="V1" s="10" t="s">
        <v>57</v>
      </c>
      <c r="W1" s="10" t="s">
        <v>58</v>
      </c>
      <c r="X1" s="14" t="s">
        <v>56</v>
      </c>
    </row>
    <row r="2" spans="1:24" x14ac:dyDescent="0.3">
      <c r="A2" t="s">
        <v>7</v>
      </c>
      <c r="B2" t="s">
        <v>13</v>
      </c>
      <c r="C2" t="s">
        <v>32</v>
      </c>
      <c r="D2" t="s">
        <v>38</v>
      </c>
      <c r="E2" s="9">
        <v>1618.5</v>
      </c>
      <c r="F2" s="7">
        <v>3</v>
      </c>
      <c r="G2" s="7">
        <v>20</v>
      </c>
      <c r="H2" s="7">
        <v>32370</v>
      </c>
      <c r="I2" s="5">
        <v>0</v>
      </c>
      <c r="J2" s="5">
        <v>32370</v>
      </c>
      <c r="K2" s="7">
        <v>16185</v>
      </c>
      <c r="L2" s="5">
        <v>16185</v>
      </c>
      <c r="M2" s="1">
        <v>41640</v>
      </c>
      <c r="N2">
        <v>1</v>
      </c>
      <c r="O2" t="s">
        <v>18</v>
      </c>
      <c r="P2" t="s">
        <v>12</v>
      </c>
      <c r="Q2" s="5">
        <f>tbl_financials[[#This Row],[Net_Sales]]</f>
        <v>32370</v>
      </c>
      <c r="R2" s="5">
        <f>ROUND(tbl_financials[[#This Row],[Revenue]]*(0.12+MOD(ROW(),7)/100),2)</f>
        <v>4531.8</v>
      </c>
      <c r="S2" s="7">
        <f t="shared" ref="S2:S65" si="0">ROUND(1000+MOD(ROW()*31,9000),0)</f>
        <v>1062</v>
      </c>
      <c r="T2" s="5">
        <f>tbl_financials[[#This Row],[Gross_Profit]]-tbl_financials[[#This Row],[Operating_Expenses]]+tbl_financials[[#This Row],[Other_Income]]</f>
        <v>12715.2</v>
      </c>
      <c r="U2" s="11">
        <f>IF(tbl_financials[[#This Row],[Revenue]]=0,0,tbl_financials[[#This Row],[Net_Profit]]/tbl_financials[[#This Row],[Revenue]])</f>
        <v>0.39280815569972199</v>
      </c>
      <c r="V2" s="11" t="str">
        <f>tbl_financials[[#This Row],[Month_Name]] &amp; "_" &amp; tbl_financials[[#This Row],[Year]]</f>
        <v>January_2014</v>
      </c>
      <c r="W2" s="11" t="str">
        <f>tbl_financials[[#This Row],[Month_Name]] &amp; "_" &amp; (tbl_financials[[#This Row],[Year]]-1)</f>
        <v>January_2013</v>
      </c>
      <c r="X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" spans="1:24" x14ac:dyDescent="0.3">
      <c r="A3" t="s">
        <v>7</v>
      </c>
      <c r="B3" t="s">
        <v>16</v>
      </c>
      <c r="C3" t="s">
        <v>32</v>
      </c>
      <c r="D3" t="s">
        <v>38</v>
      </c>
      <c r="E3" s="9">
        <v>1321</v>
      </c>
      <c r="F3" s="7">
        <v>3</v>
      </c>
      <c r="G3" s="7">
        <v>20</v>
      </c>
      <c r="H3" s="7">
        <v>26420</v>
      </c>
      <c r="I3" s="5">
        <v>0</v>
      </c>
      <c r="J3" s="5">
        <v>26420</v>
      </c>
      <c r="K3" s="7">
        <v>13210</v>
      </c>
      <c r="L3" s="5">
        <v>13210</v>
      </c>
      <c r="M3" s="1">
        <v>41640</v>
      </c>
      <c r="N3">
        <v>1</v>
      </c>
      <c r="O3" t="s">
        <v>18</v>
      </c>
      <c r="P3" t="s">
        <v>12</v>
      </c>
      <c r="Q3" s="5">
        <f>tbl_financials[[#This Row],[Net_Sales]]</f>
        <v>26420</v>
      </c>
      <c r="R3" s="5">
        <f>ROUND(tbl_financials[[#This Row],[Revenue]]*(0.12+MOD(ROW(),7)/100),2)</f>
        <v>3963</v>
      </c>
      <c r="S3" s="7">
        <f t="shared" si="0"/>
        <v>1093</v>
      </c>
      <c r="T3" s="5">
        <f>tbl_financials[[#This Row],[Gross_Profit]]-tbl_financials[[#This Row],[Operating_Expenses]]+tbl_financials[[#This Row],[Other_Income]]</f>
        <v>10340</v>
      </c>
      <c r="U3" s="11">
        <f>IF(tbl_financials[[#This Row],[Revenue]]=0,0,tbl_financials[[#This Row],[Net_Profit]]/tbl_financials[[#This Row],[Revenue]])</f>
        <v>0.39137017411052233</v>
      </c>
      <c r="V3" s="11" t="str">
        <f>tbl_financials[[#This Row],[Month_Name]] &amp; "_" &amp; tbl_financials[[#This Row],[Year]]</f>
        <v>January_2014</v>
      </c>
      <c r="W3" s="11" t="str">
        <f>tbl_financials[[#This Row],[Month_Name]] &amp; "_" &amp; (tbl_financials[[#This Row],[Year]]-1)</f>
        <v>January_2013</v>
      </c>
      <c r="X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" spans="1:24" x14ac:dyDescent="0.3">
      <c r="A4" t="s">
        <v>5</v>
      </c>
      <c r="B4" t="s">
        <v>15</v>
      </c>
      <c r="C4" t="s">
        <v>32</v>
      </c>
      <c r="D4" t="s">
        <v>38</v>
      </c>
      <c r="E4" s="9">
        <v>2178</v>
      </c>
      <c r="F4" s="7">
        <v>3</v>
      </c>
      <c r="G4" s="7">
        <v>15</v>
      </c>
      <c r="H4" s="7">
        <v>32670</v>
      </c>
      <c r="I4" s="5">
        <v>0</v>
      </c>
      <c r="J4" s="5">
        <v>32670</v>
      </c>
      <c r="K4" s="7">
        <v>21780</v>
      </c>
      <c r="L4" s="5">
        <v>10890</v>
      </c>
      <c r="M4" s="1">
        <v>41791</v>
      </c>
      <c r="N4">
        <v>6</v>
      </c>
      <c r="O4" t="s">
        <v>23</v>
      </c>
      <c r="P4" t="s">
        <v>12</v>
      </c>
      <c r="Q4" s="5">
        <f>tbl_financials[[#This Row],[Net_Sales]]</f>
        <v>32670</v>
      </c>
      <c r="R4" s="5">
        <f>ROUND(tbl_financials[[#This Row],[Revenue]]*(0.12+MOD(ROW(),7)/100),2)</f>
        <v>5227.2</v>
      </c>
      <c r="S4" s="7">
        <f t="shared" si="0"/>
        <v>1124</v>
      </c>
      <c r="T4" s="5">
        <f>tbl_financials[[#This Row],[Gross_Profit]]-tbl_financials[[#This Row],[Operating_Expenses]]+tbl_financials[[#This Row],[Other_Income]]</f>
        <v>6786.8</v>
      </c>
      <c r="U4" s="11">
        <f>IF(tbl_financials[[#This Row],[Revenue]]=0,0,tbl_financials[[#This Row],[Net_Profit]]/tbl_financials[[#This Row],[Revenue]])</f>
        <v>0.20773798591980411</v>
      </c>
      <c r="V4" s="11" t="str">
        <f>tbl_financials[[#This Row],[Month_Name]] &amp; "_" &amp; tbl_financials[[#This Row],[Year]]</f>
        <v>June_2014</v>
      </c>
      <c r="W4" s="11" t="str">
        <f>tbl_financials[[#This Row],[Month_Name]] &amp; "_" &amp; (tbl_financials[[#This Row],[Year]]-1)</f>
        <v>June_2013</v>
      </c>
      <c r="X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" spans="1:24" x14ac:dyDescent="0.3">
      <c r="A5" t="s">
        <v>5</v>
      </c>
      <c r="B5" t="s">
        <v>16</v>
      </c>
      <c r="C5" t="s">
        <v>32</v>
      </c>
      <c r="D5" t="s">
        <v>38</v>
      </c>
      <c r="E5" s="9">
        <v>888</v>
      </c>
      <c r="F5" s="7">
        <v>3</v>
      </c>
      <c r="G5" s="7">
        <v>15</v>
      </c>
      <c r="H5" s="7">
        <v>13320</v>
      </c>
      <c r="I5" s="5">
        <v>0</v>
      </c>
      <c r="J5" s="5">
        <v>13320</v>
      </c>
      <c r="K5" s="7">
        <v>8880</v>
      </c>
      <c r="L5" s="5">
        <v>4440</v>
      </c>
      <c r="M5" s="1">
        <v>41791</v>
      </c>
      <c r="N5">
        <v>6</v>
      </c>
      <c r="O5" t="s">
        <v>23</v>
      </c>
      <c r="P5" t="s">
        <v>12</v>
      </c>
      <c r="Q5" s="5">
        <f>tbl_financials[[#This Row],[Net_Sales]]</f>
        <v>13320</v>
      </c>
      <c r="R5" s="5">
        <f>ROUND(tbl_financials[[#This Row],[Revenue]]*(0.12+MOD(ROW(),7)/100),2)</f>
        <v>2264.4</v>
      </c>
      <c r="S5" s="7">
        <f t="shared" si="0"/>
        <v>1155</v>
      </c>
      <c r="T5" s="5">
        <f>tbl_financials[[#This Row],[Gross_Profit]]-tbl_financials[[#This Row],[Operating_Expenses]]+tbl_financials[[#This Row],[Other_Income]]</f>
        <v>3330.6</v>
      </c>
      <c r="U5" s="11">
        <f>IF(tbl_financials[[#This Row],[Revenue]]=0,0,tbl_financials[[#This Row],[Net_Profit]]/tbl_financials[[#This Row],[Revenue]])</f>
        <v>0.25004504504504504</v>
      </c>
      <c r="V5" s="11" t="str">
        <f>tbl_financials[[#This Row],[Month_Name]] &amp; "_" &amp; tbl_financials[[#This Row],[Year]]</f>
        <v>June_2014</v>
      </c>
      <c r="W5" s="11" t="str">
        <f>tbl_financials[[#This Row],[Month_Name]] &amp; "_" &amp; (tbl_financials[[#This Row],[Year]]-1)</f>
        <v>June_2013</v>
      </c>
      <c r="X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" spans="1:24" x14ac:dyDescent="0.3">
      <c r="A6" t="s">
        <v>5</v>
      </c>
      <c r="B6" t="s">
        <v>17</v>
      </c>
      <c r="C6" t="s">
        <v>32</v>
      </c>
      <c r="D6" t="s">
        <v>38</v>
      </c>
      <c r="E6" s="9">
        <v>2470</v>
      </c>
      <c r="F6" s="7">
        <v>3</v>
      </c>
      <c r="G6" s="7">
        <v>15</v>
      </c>
      <c r="H6" s="7">
        <v>37050</v>
      </c>
      <c r="I6" s="5">
        <v>0</v>
      </c>
      <c r="J6" s="5">
        <v>37050</v>
      </c>
      <c r="K6" s="7">
        <v>24700</v>
      </c>
      <c r="L6" s="5">
        <v>12350</v>
      </c>
      <c r="M6" s="1">
        <v>41791</v>
      </c>
      <c r="N6">
        <v>6</v>
      </c>
      <c r="O6" t="s">
        <v>23</v>
      </c>
      <c r="P6" t="s">
        <v>12</v>
      </c>
      <c r="Q6" s="5">
        <f>tbl_financials[[#This Row],[Net_Sales]]</f>
        <v>37050</v>
      </c>
      <c r="R6" s="5">
        <f>ROUND(tbl_financials[[#This Row],[Revenue]]*(0.12+MOD(ROW(),7)/100),2)</f>
        <v>6669</v>
      </c>
      <c r="S6" s="7">
        <f t="shared" si="0"/>
        <v>1186</v>
      </c>
      <c r="T6" s="5">
        <f>tbl_financials[[#This Row],[Gross_Profit]]-tbl_financials[[#This Row],[Operating_Expenses]]+tbl_financials[[#This Row],[Other_Income]]</f>
        <v>6867</v>
      </c>
      <c r="U6" s="11">
        <f>IF(tbl_financials[[#This Row],[Revenue]]=0,0,tbl_financials[[#This Row],[Net_Profit]]/tbl_financials[[#This Row],[Revenue]])</f>
        <v>0.18534412955465587</v>
      </c>
      <c r="V6" s="11" t="str">
        <f>tbl_financials[[#This Row],[Month_Name]] &amp; "_" &amp; tbl_financials[[#This Row],[Year]]</f>
        <v>June_2014</v>
      </c>
      <c r="W6" s="11" t="str">
        <f>tbl_financials[[#This Row],[Month_Name]] &amp; "_" &amp; (tbl_financials[[#This Row],[Year]]-1)</f>
        <v>June_2013</v>
      </c>
      <c r="X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7" spans="1:24" x14ac:dyDescent="0.3">
      <c r="A7" t="s">
        <v>7</v>
      </c>
      <c r="B7" t="s">
        <v>16</v>
      </c>
      <c r="C7" t="s">
        <v>32</v>
      </c>
      <c r="D7" t="s">
        <v>38</v>
      </c>
      <c r="E7" s="9">
        <v>1513</v>
      </c>
      <c r="F7" s="7">
        <v>3</v>
      </c>
      <c r="G7" s="7">
        <v>350</v>
      </c>
      <c r="H7" s="7">
        <v>529550</v>
      </c>
      <c r="I7" s="5">
        <v>0</v>
      </c>
      <c r="J7" s="5">
        <v>529550</v>
      </c>
      <c r="K7" s="7">
        <v>393380</v>
      </c>
      <c r="L7" s="5">
        <v>136170</v>
      </c>
      <c r="M7" s="1">
        <v>41974</v>
      </c>
      <c r="N7">
        <v>12</v>
      </c>
      <c r="O7" t="s">
        <v>29</v>
      </c>
      <c r="P7" t="s">
        <v>12</v>
      </c>
      <c r="Q7" s="5">
        <f>tbl_financials[[#This Row],[Net_Sales]]</f>
        <v>529550</v>
      </c>
      <c r="R7" s="5">
        <f>ROUND(tbl_financials[[#This Row],[Revenue]]*(0.12+MOD(ROW(),7)/100),2)</f>
        <v>63546</v>
      </c>
      <c r="S7" s="7">
        <f t="shared" si="0"/>
        <v>1217</v>
      </c>
      <c r="T7" s="5">
        <f>tbl_financials[[#This Row],[Gross_Profit]]-tbl_financials[[#This Row],[Operating_Expenses]]+tbl_financials[[#This Row],[Other_Income]]</f>
        <v>73841</v>
      </c>
      <c r="U7" s="11">
        <f>IF(tbl_financials[[#This Row],[Revenue]]=0,0,tbl_financials[[#This Row],[Net_Profit]]/tbl_financials[[#This Row],[Revenue]])</f>
        <v>0.13944103484090264</v>
      </c>
      <c r="V7" s="11" t="str">
        <f>tbl_financials[[#This Row],[Month_Name]] &amp; "_" &amp; tbl_financials[[#This Row],[Year]]</f>
        <v>December_2014</v>
      </c>
      <c r="W7" s="11" t="str">
        <f>tbl_financials[[#This Row],[Month_Name]] &amp; "_" &amp; (tbl_financials[[#This Row],[Year]]-1)</f>
        <v>December_2013</v>
      </c>
      <c r="X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15.404894671623296</v>
      </c>
    </row>
    <row r="8" spans="1:24" x14ac:dyDescent="0.3">
      <c r="A8" t="s">
        <v>5</v>
      </c>
      <c r="B8" t="s">
        <v>16</v>
      </c>
      <c r="C8" t="s">
        <v>33</v>
      </c>
      <c r="D8" t="s">
        <v>38</v>
      </c>
      <c r="E8" s="9">
        <v>921</v>
      </c>
      <c r="F8" s="7">
        <v>5</v>
      </c>
      <c r="G8" s="7">
        <v>15</v>
      </c>
      <c r="H8" s="7">
        <v>13815</v>
      </c>
      <c r="I8" s="5">
        <v>0</v>
      </c>
      <c r="J8" s="5">
        <v>13815</v>
      </c>
      <c r="K8" s="7">
        <v>9210</v>
      </c>
      <c r="L8" s="5">
        <v>4605</v>
      </c>
      <c r="M8" s="1">
        <v>41699</v>
      </c>
      <c r="N8">
        <v>3</v>
      </c>
      <c r="O8" t="s">
        <v>20</v>
      </c>
      <c r="P8" t="s">
        <v>12</v>
      </c>
      <c r="Q8" s="5">
        <f>tbl_financials[[#This Row],[Net_Sales]]</f>
        <v>13815</v>
      </c>
      <c r="R8" s="5">
        <f>ROUND(tbl_financials[[#This Row],[Revenue]]*(0.12+MOD(ROW(),7)/100),2)</f>
        <v>1795.95</v>
      </c>
      <c r="S8" s="7">
        <f t="shared" si="0"/>
        <v>1248</v>
      </c>
      <c r="T8" s="5">
        <f>tbl_financials[[#This Row],[Gross_Profit]]-tbl_financials[[#This Row],[Operating_Expenses]]+tbl_financials[[#This Row],[Other_Income]]</f>
        <v>4057.05</v>
      </c>
      <c r="U8" s="11">
        <f>IF(tbl_financials[[#This Row],[Revenue]]=0,0,tbl_financials[[#This Row],[Net_Profit]]/tbl_financials[[#This Row],[Revenue]])</f>
        <v>0.29366992399565689</v>
      </c>
      <c r="V8" s="11" t="str">
        <f>tbl_financials[[#This Row],[Month_Name]] &amp; "_" &amp; tbl_financials[[#This Row],[Year]]</f>
        <v>March_2014</v>
      </c>
      <c r="W8" s="11" t="str">
        <f>tbl_financials[[#This Row],[Month_Name]] &amp; "_" &amp; (tbl_financials[[#This Row],[Year]]-1)</f>
        <v>March_2013</v>
      </c>
      <c r="X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9" spans="1:24" x14ac:dyDescent="0.3">
      <c r="A9" t="s">
        <v>8</v>
      </c>
      <c r="B9" t="s">
        <v>13</v>
      </c>
      <c r="C9" t="s">
        <v>33</v>
      </c>
      <c r="D9" t="s">
        <v>38</v>
      </c>
      <c r="E9" s="9">
        <v>2518</v>
      </c>
      <c r="F9" s="7">
        <v>5</v>
      </c>
      <c r="G9" s="7">
        <v>12</v>
      </c>
      <c r="H9" s="7">
        <v>30216</v>
      </c>
      <c r="I9" s="5">
        <v>0</v>
      </c>
      <c r="J9" s="5">
        <v>30216</v>
      </c>
      <c r="K9" s="7">
        <v>7554</v>
      </c>
      <c r="L9" s="5">
        <v>22662</v>
      </c>
      <c r="M9" s="1">
        <v>41791</v>
      </c>
      <c r="N9">
        <v>6</v>
      </c>
      <c r="O9" t="s">
        <v>23</v>
      </c>
      <c r="P9" t="s">
        <v>12</v>
      </c>
      <c r="Q9" s="5">
        <f>tbl_financials[[#This Row],[Net_Sales]]</f>
        <v>30216</v>
      </c>
      <c r="R9" s="5">
        <f>ROUND(tbl_financials[[#This Row],[Revenue]]*(0.12+MOD(ROW(),7)/100),2)</f>
        <v>4230.24</v>
      </c>
      <c r="S9" s="7">
        <f t="shared" si="0"/>
        <v>1279</v>
      </c>
      <c r="T9" s="5">
        <f>tbl_financials[[#This Row],[Gross_Profit]]-tbl_financials[[#This Row],[Operating_Expenses]]+tbl_financials[[#This Row],[Other_Income]]</f>
        <v>19710.760000000002</v>
      </c>
      <c r="U9" s="11">
        <f>IF(tbl_financials[[#This Row],[Revenue]]=0,0,tbl_financials[[#This Row],[Net_Profit]]/tbl_financials[[#This Row],[Revenue]])</f>
        <v>0.65232856764628022</v>
      </c>
      <c r="V9" s="11" t="str">
        <f>tbl_financials[[#This Row],[Month_Name]] &amp; "_" &amp; tbl_financials[[#This Row],[Year]]</f>
        <v>June_2014</v>
      </c>
      <c r="W9" s="11" t="str">
        <f>tbl_financials[[#This Row],[Month_Name]] &amp; "_" &amp; (tbl_financials[[#This Row],[Year]]-1)</f>
        <v>June_2013</v>
      </c>
      <c r="X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0" spans="1:24" x14ac:dyDescent="0.3">
      <c r="A10" t="s">
        <v>7</v>
      </c>
      <c r="B10" t="s">
        <v>15</v>
      </c>
      <c r="C10" t="s">
        <v>33</v>
      </c>
      <c r="D10" t="s">
        <v>38</v>
      </c>
      <c r="E10" s="9">
        <v>1899</v>
      </c>
      <c r="F10" s="7">
        <v>5</v>
      </c>
      <c r="G10" s="7">
        <v>20</v>
      </c>
      <c r="H10" s="7">
        <v>37980</v>
      </c>
      <c r="I10" s="5">
        <v>0</v>
      </c>
      <c r="J10" s="5">
        <v>37980</v>
      </c>
      <c r="K10" s="7">
        <v>18990</v>
      </c>
      <c r="L10" s="5">
        <v>18990</v>
      </c>
      <c r="M10" s="1">
        <v>41791</v>
      </c>
      <c r="N10">
        <v>6</v>
      </c>
      <c r="O10" t="s">
        <v>23</v>
      </c>
      <c r="P10" t="s">
        <v>12</v>
      </c>
      <c r="Q10" s="5">
        <f>tbl_financials[[#This Row],[Net_Sales]]</f>
        <v>37980</v>
      </c>
      <c r="R10" s="5">
        <f>ROUND(tbl_financials[[#This Row],[Revenue]]*(0.12+MOD(ROW(),7)/100),2)</f>
        <v>5697</v>
      </c>
      <c r="S10" s="7">
        <f t="shared" si="0"/>
        <v>1310</v>
      </c>
      <c r="T10" s="5">
        <f>tbl_financials[[#This Row],[Gross_Profit]]-tbl_financials[[#This Row],[Operating_Expenses]]+tbl_financials[[#This Row],[Other_Income]]</f>
        <v>14603</v>
      </c>
      <c r="U10" s="11">
        <f>IF(tbl_financials[[#This Row],[Revenue]]=0,0,tbl_financials[[#This Row],[Net_Profit]]/tbl_financials[[#This Row],[Revenue]])</f>
        <v>0.38449183780937335</v>
      </c>
      <c r="V10" s="11" t="str">
        <f>tbl_financials[[#This Row],[Month_Name]] &amp; "_" &amp; tbl_financials[[#This Row],[Year]]</f>
        <v>June_2014</v>
      </c>
      <c r="W10" s="11" t="str">
        <f>tbl_financials[[#This Row],[Month_Name]] &amp; "_" &amp; (tbl_financials[[#This Row],[Year]]-1)</f>
        <v>June_2013</v>
      </c>
      <c r="X1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1" spans="1:24" x14ac:dyDescent="0.3">
      <c r="A11" t="s">
        <v>8</v>
      </c>
      <c r="B11" t="s">
        <v>16</v>
      </c>
      <c r="C11" t="s">
        <v>33</v>
      </c>
      <c r="D11" t="s">
        <v>38</v>
      </c>
      <c r="E11" s="9">
        <v>1545</v>
      </c>
      <c r="F11" s="7">
        <v>5</v>
      </c>
      <c r="G11" s="7">
        <v>12</v>
      </c>
      <c r="H11" s="7">
        <v>18540</v>
      </c>
      <c r="I11" s="5">
        <v>0</v>
      </c>
      <c r="J11" s="5">
        <v>18540</v>
      </c>
      <c r="K11" s="7">
        <v>4635</v>
      </c>
      <c r="L11" s="5">
        <v>13905</v>
      </c>
      <c r="M11" s="1">
        <v>41791</v>
      </c>
      <c r="N11">
        <v>6</v>
      </c>
      <c r="O11" t="s">
        <v>23</v>
      </c>
      <c r="P11" t="s">
        <v>12</v>
      </c>
      <c r="Q11" s="5">
        <f>tbl_financials[[#This Row],[Net_Sales]]</f>
        <v>18540</v>
      </c>
      <c r="R11" s="5">
        <f>ROUND(tbl_financials[[#This Row],[Revenue]]*(0.12+MOD(ROW(),7)/100),2)</f>
        <v>2966.4</v>
      </c>
      <c r="S11" s="7">
        <f t="shared" si="0"/>
        <v>1341</v>
      </c>
      <c r="T11" s="5">
        <f>tbl_financials[[#This Row],[Gross_Profit]]-tbl_financials[[#This Row],[Operating_Expenses]]+tbl_financials[[#This Row],[Other_Income]]</f>
        <v>12279.6</v>
      </c>
      <c r="U11" s="11">
        <f>IF(tbl_financials[[#This Row],[Revenue]]=0,0,tbl_financials[[#This Row],[Net_Profit]]/tbl_financials[[#This Row],[Revenue]])</f>
        <v>0.66233009708737867</v>
      </c>
      <c r="V11" s="11" t="str">
        <f>tbl_financials[[#This Row],[Month_Name]] &amp; "_" &amp; tbl_financials[[#This Row],[Year]]</f>
        <v>June_2014</v>
      </c>
      <c r="W11" s="11" t="str">
        <f>tbl_financials[[#This Row],[Month_Name]] &amp; "_" &amp; (tbl_financials[[#This Row],[Year]]-1)</f>
        <v>June_2013</v>
      </c>
      <c r="X1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2" spans="1:24" x14ac:dyDescent="0.3">
      <c r="A12" t="s">
        <v>5</v>
      </c>
      <c r="B12" t="s">
        <v>17</v>
      </c>
      <c r="C12" t="s">
        <v>33</v>
      </c>
      <c r="D12" t="s">
        <v>38</v>
      </c>
      <c r="E12" s="9">
        <v>2470</v>
      </c>
      <c r="F12" s="7">
        <v>5</v>
      </c>
      <c r="G12" s="7">
        <v>15</v>
      </c>
      <c r="H12" s="7">
        <v>37050</v>
      </c>
      <c r="I12" s="5">
        <v>0</v>
      </c>
      <c r="J12" s="5">
        <v>37050</v>
      </c>
      <c r="K12" s="7">
        <v>24700</v>
      </c>
      <c r="L12" s="5">
        <v>12350</v>
      </c>
      <c r="M12" s="1">
        <v>41791</v>
      </c>
      <c r="N12">
        <v>6</v>
      </c>
      <c r="O12" t="s">
        <v>23</v>
      </c>
      <c r="P12" t="s">
        <v>12</v>
      </c>
      <c r="Q12" s="5">
        <f>tbl_financials[[#This Row],[Net_Sales]]</f>
        <v>37050</v>
      </c>
      <c r="R12" s="5">
        <f>ROUND(tbl_financials[[#This Row],[Revenue]]*(0.12+MOD(ROW(),7)/100),2)</f>
        <v>6298.5</v>
      </c>
      <c r="S12" s="7">
        <f t="shared" si="0"/>
        <v>1372</v>
      </c>
      <c r="T12" s="5">
        <f>tbl_financials[[#This Row],[Gross_Profit]]-tbl_financials[[#This Row],[Operating_Expenses]]+tbl_financials[[#This Row],[Other_Income]]</f>
        <v>7423.5</v>
      </c>
      <c r="U12" s="11">
        <f>IF(tbl_financials[[#This Row],[Revenue]]=0,0,tbl_financials[[#This Row],[Net_Profit]]/tbl_financials[[#This Row],[Revenue]])</f>
        <v>0.20036437246963562</v>
      </c>
      <c r="V12" s="11" t="str">
        <f>tbl_financials[[#This Row],[Month_Name]] &amp; "_" &amp; tbl_financials[[#This Row],[Year]]</f>
        <v>June_2014</v>
      </c>
      <c r="W12" s="11" t="str">
        <f>tbl_financials[[#This Row],[Month_Name]] &amp; "_" &amp; (tbl_financials[[#This Row],[Year]]-1)</f>
        <v>June_2013</v>
      </c>
      <c r="X1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3" spans="1:24" x14ac:dyDescent="0.3">
      <c r="A13" t="s">
        <v>6</v>
      </c>
      <c r="B13" t="s">
        <v>13</v>
      </c>
      <c r="C13" t="s">
        <v>33</v>
      </c>
      <c r="D13" t="s">
        <v>38</v>
      </c>
      <c r="E13" s="9">
        <v>2665.5</v>
      </c>
      <c r="F13" s="7">
        <v>5</v>
      </c>
      <c r="G13" s="7">
        <v>125</v>
      </c>
      <c r="H13" s="7">
        <v>333187.5</v>
      </c>
      <c r="I13" s="5">
        <v>0</v>
      </c>
      <c r="J13" s="5">
        <v>333187.5</v>
      </c>
      <c r="K13" s="7">
        <v>319860</v>
      </c>
      <c r="L13" s="5">
        <v>13327.5</v>
      </c>
      <c r="M13" s="1">
        <v>41821</v>
      </c>
      <c r="N13">
        <v>7</v>
      </c>
      <c r="O13" t="s">
        <v>24</v>
      </c>
      <c r="P13" t="s">
        <v>12</v>
      </c>
      <c r="Q13" s="5">
        <f>tbl_financials[[#This Row],[Net_Sales]]</f>
        <v>333187.5</v>
      </c>
      <c r="R13" s="5">
        <f>ROUND(tbl_financials[[#This Row],[Revenue]]*(0.12+MOD(ROW(),7)/100),2)</f>
        <v>59973.75</v>
      </c>
      <c r="S13" s="7">
        <f t="shared" si="0"/>
        <v>1403</v>
      </c>
      <c r="T13" s="5">
        <f>tbl_financials[[#This Row],[Gross_Profit]]-tbl_financials[[#This Row],[Operating_Expenses]]+tbl_financials[[#This Row],[Other_Income]]</f>
        <v>-45243.25</v>
      </c>
      <c r="U13" s="11">
        <f>IF(tbl_financials[[#This Row],[Revenue]]=0,0,tbl_financials[[#This Row],[Net_Profit]]/tbl_financials[[#This Row],[Revenue]])</f>
        <v>-0.13578915775651848</v>
      </c>
      <c r="V13" s="11" t="str">
        <f>tbl_financials[[#This Row],[Month_Name]] &amp; "_" &amp; tbl_financials[[#This Row],[Year]]</f>
        <v>July_2014</v>
      </c>
      <c r="W13" s="11" t="str">
        <f>tbl_financials[[#This Row],[Month_Name]] &amp; "_" &amp; (tbl_financials[[#This Row],[Year]]-1)</f>
        <v>July_2013</v>
      </c>
      <c r="X1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4" spans="1:24" x14ac:dyDescent="0.3">
      <c r="A14" t="s">
        <v>4</v>
      </c>
      <c r="B14" t="s">
        <v>17</v>
      </c>
      <c r="C14" t="s">
        <v>33</v>
      </c>
      <c r="D14" t="s">
        <v>38</v>
      </c>
      <c r="E14" s="9">
        <v>958</v>
      </c>
      <c r="F14" s="7">
        <v>5</v>
      </c>
      <c r="G14" s="7">
        <v>300</v>
      </c>
      <c r="H14" s="7">
        <v>287400</v>
      </c>
      <c r="I14" s="5">
        <v>0</v>
      </c>
      <c r="J14" s="5">
        <v>287400</v>
      </c>
      <c r="K14" s="7">
        <v>239500</v>
      </c>
      <c r="L14" s="5">
        <v>47900</v>
      </c>
      <c r="M14" s="1">
        <v>41852</v>
      </c>
      <c r="N14">
        <v>8</v>
      </c>
      <c r="O14" t="s">
        <v>25</v>
      </c>
      <c r="P14" t="s">
        <v>12</v>
      </c>
      <c r="Q14" s="5">
        <f>tbl_financials[[#This Row],[Net_Sales]]</f>
        <v>287400</v>
      </c>
      <c r="R14" s="5">
        <f>ROUND(tbl_financials[[#This Row],[Revenue]]*(0.12+MOD(ROW(),7)/100),2)</f>
        <v>34488</v>
      </c>
      <c r="S14" s="7">
        <f t="shared" si="0"/>
        <v>1434</v>
      </c>
      <c r="T14" s="5">
        <f>tbl_financials[[#This Row],[Gross_Profit]]-tbl_financials[[#This Row],[Operating_Expenses]]+tbl_financials[[#This Row],[Other_Income]]</f>
        <v>14846</v>
      </c>
      <c r="U14" s="11">
        <f>IF(tbl_financials[[#This Row],[Revenue]]=0,0,tbl_financials[[#This Row],[Net_Profit]]/tbl_financials[[#This Row],[Revenue]])</f>
        <v>5.16562282533055E-2</v>
      </c>
      <c r="V14" s="11" t="str">
        <f>tbl_financials[[#This Row],[Month_Name]] &amp; "_" &amp; tbl_financials[[#This Row],[Year]]</f>
        <v>August_2014</v>
      </c>
      <c r="W14" s="11" t="str">
        <f>tbl_financials[[#This Row],[Month_Name]] &amp; "_" &amp; (tbl_financials[[#This Row],[Year]]-1)</f>
        <v>August_2013</v>
      </c>
      <c r="X1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5" spans="1:24" x14ac:dyDescent="0.3">
      <c r="A15" t="s">
        <v>7</v>
      </c>
      <c r="B15" t="s">
        <v>16</v>
      </c>
      <c r="C15" t="s">
        <v>33</v>
      </c>
      <c r="D15" t="s">
        <v>38</v>
      </c>
      <c r="E15" s="9">
        <v>2146</v>
      </c>
      <c r="F15" s="7">
        <v>5</v>
      </c>
      <c r="G15" s="7">
        <v>7</v>
      </c>
      <c r="H15" s="7">
        <v>15022</v>
      </c>
      <c r="I15" s="5">
        <v>0</v>
      </c>
      <c r="J15" s="5">
        <v>15022</v>
      </c>
      <c r="K15" s="7">
        <v>10730</v>
      </c>
      <c r="L15" s="5">
        <v>4292</v>
      </c>
      <c r="M15" s="1">
        <v>41883</v>
      </c>
      <c r="N15">
        <v>9</v>
      </c>
      <c r="O15" t="s">
        <v>26</v>
      </c>
      <c r="P15" t="s">
        <v>12</v>
      </c>
      <c r="Q15" s="5">
        <f>tbl_financials[[#This Row],[Net_Sales]]</f>
        <v>15022</v>
      </c>
      <c r="R15" s="5">
        <f>ROUND(tbl_financials[[#This Row],[Revenue]]*(0.12+MOD(ROW(),7)/100),2)</f>
        <v>1952.86</v>
      </c>
      <c r="S15" s="7">
        <f t="shared" si="0"/>
        <v>1465</v>
      </c>
      <c r="T15" s="5">
        <f>tbl_financials[[#This Row],[Gross_Profit]]-tbl_financials[[#This Row],[Operating_Expenses]]+tbl_financials[[#This Row],[Other_Income]]</f>
        <v>3804.1400000000003</v>
      </c>
      <c r="U15" s="11">
        <f>IF(tbl_financials[[#This Row],[Revenue]]=0,0,tbl_financials[[#This Row],[Net_Profit]]/tbl_financials[[#This Row],[Revenue]])</f>
        <v>0.25323791772067639</v>
      </c>
      <c r="V15" s="11" t="str">
        <f>tbl_financials[[#This Row],[Month_Name]] &amp; "_" &amp; tbl_financials[[#This Row],[Year]]</f>
        <v>September_2014</v>
      </c>
      <c r="W15" s="11" t="str">
        <f>tbl_financials[[#This Row],[Month_Name]] &amp; "_" &amp; (tbl_financials[[#This Row],[Year]]-1)</f>
        <v>September_2013</v>
      </c>
      <c r="X1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0.82416514875531266</v>
      </c>
    </row>
    <row r="16" spans="1:24" x14ac:dyDescent="0.3">
      <c r="A16" t="s">
        <v>6</v>
      </c>
      <c r="B16" t="s">
        <v>13</v>
      </c>
      <c r="C16" t="s">
        <v>33</v>
      </c>
      <c r="D16" t="s">
        <v>38</v>
      </c>
      <c r="E16" s="9">
        <v>345</v>
      </c>
      <c r="F16" s="7">
        <v>5</v>
      </c>
      <c r="G16" s="7">
        <v>125</v>
      </c>
      <c r="H16" s="7">
        <v>43125</v>
      </c>
      <c r="I16" s="5">
        <v>0</v>
      </c>
      <c r="J16" s="5">
        <v>43125</v>
      </c>
      <c r="K16" s="7">
        <v>41400</v>
      </c>
      <c r="L16" s="5">
        <v>1725</v>
      </c>
      <c r="M16" s="1">
        <v>41548</v>
      </c>
      <c r="N16">
        <v>10</v>
      </c>
      <c r="O16" t="s">
        <v>27</v>
      </c>
      <c r="P16" t="s">
        <v>11</v>
      </c>
      <c r="Q16" s="5">
        <f>tbl_financials[[#This Row],[Net_Sales]]</f>
        <v>43125</v>
      </c>
      <c r="R16" s="5">
        <f>ROUND(tbl_financials[[#This Row],[Revenue]]*(0.12+MOD(ROW(),7)/100),2)</f>
        <v>6037.5</v>
      </c>
      <c r="S16" s="7">
        <f t="shared" si="0"/>
        <v>1496</v>
      </c>
      <c r="T16" s="5">
        <f>tbl_financials[[#This Row],[Gross_Profit]]-tbl_financials[[#This Row],[Operating_Expenses]]+tbl_financials[[#This Row],[Other_Income]]</f>
        <v>-2816.5</v>
      </c>
      <c r="U16" s="11">
        <f>IF(tbl_financials[[#This Row],[Revenue]]=0,0,tbl_financials[[#This Row],[Net_Profit]]/tbl_financials[[#This Row],[Revenue]])</f>
        <v>-6.5310144927536229E-2</v>
      </c>
      <c r="V16" s="11" t="str">
        <f>tbl_financials[[#This Row],[Month_Name]] &amp; "_" &amp; tbl_financials[[#This Row],[Year]]</f>
        <v>October_2013</v>
      </c>
      <c r="W16" s="11" t="str">
        <f>tbl_financials[[#This Row],[Month_Name]] &amp; "_" &amp; (tbl_financials[[#This Row],[Year]]-1)</f>
        <v>October_2012</v>
      </c>
      <c r="X1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7" spans="1:24" x14ac:dyDescent="0.3">
      <c r="A17" t="s">
        <v>5</v>
      </c>
      <c r="B17" t="s">
        <v>14</v>
      </c>
      <c r="C17" t="s">
        <v>33</v>
      </c>
      <c r="D17" t="s">
        <v>38</v>
      </c>
      <c r="E17" s="9">
        <v>615</v>
      </c>
      <c r="F17" s="7">
        <v>5</v>
      </c>
      <c r="G17" s="7">
        <v>15</v>
      </c>
      <c r="H17" s="7">
        <v>9225</v>
      </c>
      <c r="I17" s="5">
        <v>0</v>
      </c>
      <c r="J17" s="5">
        <v>9225</v>
      </c>
      <c r="K17" s="7">
        <v>6150</v>
      </c>
      <c r="L17" s="5">
        <v>3075</v>
      </c>
      <c r="M17" s="1">
        <v>41974</v>
      </c>
      <c r="N17">
        <v>12</v>
      </c>
      <c r="O17" t="s">
        <v>29</v>
      </c>
      <c r="P17" t="s">
        <v>12</v>
      </c>
      <c r="Q17" s="5">
        <f>tbl_financials[[#This Row],[Net_Sales]]</f>
        <v>9225</v>
      </c>
      <c r="R17" s="5">
        <f>ROUND(tbl_financials[[#This Row],[Revenue]]*(0.12+MOD(ROW(),7)/100),2)</f>
        <v>1383.75</v>
      </c>
      <c r="S17" s="7">
        <f t="shared" si="0"/>
        <v>1527</v>
      </c>
      <c r="T17" s="5">
        <f>tbl_financials[[#This Row],[Gross_Profit]]-tbl_financials[[#This Row],[Operating_Expenses]]+tbl_financials[[#This Row],[Other_Income]]</f>
        <v>3218.25</v>
      </c>
      <c r="U17" s="11">
        <f>IF(tbl_financials[[#This Row],[Revenue]]=0,0,tbl_financials[[#This Row],[Net_Profit]]/tbl_financials[[#This Row],[Revenue]])</f>
        <v>0.34886178861788619</v>
      </c>
      <c r="V17" s="11" t="str">
        <f>tbl_financials[[#This Row],[Month_Name]] &amp; "_" &amp; tbl_financials[[#This Row],[Year]]</f>
        <v>December_2014</v>
      </c>
      <c r="W17" s="11" t="str">
        <f>tbl_financials[[#This Row],[Month_Name]] &amp; "_" &amp; (tbl_financials[[#This Row],[Year]]-1)</f>
        <v>December_2013</v>
      </c>
      <c r="X1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-0.71421933085501854</v>
      </c>
    </row>
    <row r="18" spans="1:24" x14ac:dyDescent="0.3">
      <c r="A18" t="s">
        <v>7</v>
      </c>
      <c r="B18" t="s">
        <v>13</v>
      </c>
      <c r="C18" t="s">
        <v>34</v>
      </c>
      <c r="D18" t="s">
        <v>38</v>
      </c>
      <c r="E18" s="9">
        <v>292</v>
      </c>
      <c r="F18" s="7">
        <v>10</v>
      </c>
      <c r="G18" s="7">
        <v>20</v>
      </c>
      <c r="H18" s="7">
        <v>5840</v>
      </c>
      <c r="I18" s="5">
        <v>0</v>
      </c>
      <c r="J18" s="5">
        <v>5840</v>
      </c>
      <c r="K18" s="7">
        <v>2920</v>
      </c>
      <c r="L18" s="5">
        <v>2920</v>
      </c>
      <c r="M18" s="1">
        <v>41671</v>
      </c>
      <c r="N18">
        <v>2</v>
      </c>
      <c r="O18" t="s">
        <v>19</v>
      </c>
      <c r="P18" t="s">
        <v>12</v>
      </c>
      <c r="Q18" s="5">
        <f>tbl_financials[[#This Row],[Net_Sales]]</f>
        <v>5840</v>
      </c>
      <c r="R18" s="5">
        <f>ROUND(tbl_financials[[#This Row],[Revenue]]*(0.12+MOD(ROW(),7)/100),2)</f>
        <v>934.4</v>
      </c>
      <c r="S18" s="7">
        <f t="shared" si="0"/>
        <v>1558</v>
      </c>
      <c r="T18" s="5">
        <f>tbl_financials[[#This Row],[Gross_Profit]]-tbl_financials[[#This Row],[Operating_Expenses]]+tbl_financials[[#This Row],[Other_Income]]</f>
        <v>3543.6</v>
      </c>
      <c r="U18" s="11">
        <f>IF(tbl_financials[[#This Row],[Revenue]]=0,0,tbl_financials[[#This Row],[Net_Profit]]/tbl_financials[[#This Row],[Revenue]])</f>
        <v>0.60678082191780824</v>
      </c>
      <c r="V18" s="11" t="str">
        <f>tbl_financials[[#This Row],[Month_Name]] &amp; "_" &amp; tbl_financials[[#This Row],[Year]]</f>
        <v>February_2014</v>
      </c>
      <c r="W18" s="11" t="str">
        <f>tbl_financials[[#This Row],[Month_Name]] &amp; "_" &amp; (tbl_financials[[#This Row],[Year]]-1)</f>
        <v>February_2013</v>
      </c>
      <c r="X1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9" spans="1:24" x14ac:dyDescent="0.3">
      <c r="A19" t="s">
        <v>5</v>
      </c>
      <c r="B19" t="s">
        <v>17</v>
      </c>
      <c r="C19" t="s">
        <v>34</v>
      </c>
      <c r="D19" t="s">
        <v>38</v>
      </c>
      <c r="E19" s="9">
        <v>974</v>
      </c>
      <c r="F19" s="7">
        <v>10</v>
      </c>
      <c r="G19" s="7">
        <v>15</v>
      </c>
      <c r="H19" s="7">
        <v>14610</v>
      </c>
      <c r="I19" s="5">
        <v>0</v>
      </c>
      <c r="J19" s="5">
        <v>14610</v>
      </c>
      <c r="K19" s="7">
        <v>9740</v>
      </c>
      <c r="L19" s="5">
        <v>4870</v>
      </c>
      <c r="M19" s="1">
        <v>41671</v>
      </c>
      <c r="N19">
        <v>2</v>
      </c>
      <c r="O19" t="s">
        <v>19</v>
      </c>
      <c r="P19" t="s">
        <v>12</v>
      </c>
      <c r="Q19" s="5">
        <f>tbl_financials[[#This Row],[Net_Sales]]</f>
        <v>14610</v>
      </c>
      <c r="R19" s="5">
        <f>ROUND(tbl_financials[[#This Row],[Revenue]]*(0.12+MOD(ROW(),7)/100),2)</f>
        <v>2483.6999999999998</v>
      </c>
      <c r="S19" s="7">
        <f t="shared" si="0"/>
        <v>1589</v>
      </c>
      <c r="T19" s="5">
        <f>tbl_financials[[#This Row],[Gross_Profit]]-tbl_financials[[#This Row],[Operating_Expenses]]+tbl_financials[[#This Row],[Other_Income]]</f>
        <v>3975.3</v>
      </c>
      <c r="U19" s="11">
        <f>IF(tbl_financials[[#This Row],[Revenue]]=0,0,tbl_financials[[#This Row],[Net_Profit]]/tbl_financials[[#This Row],[Revenue]])</f>
        <v>0.27209445585215608</v>
      </c>
      <c r="V19" s="11" t="str">
        <f>tbl_financials[[#This Row],[Month_Name]] &amp; "_" &amp; tbl_financials[[#This Row],[Year]]</f>
        <v>February_2014</v>
      </c>
      <c r="W19" s="11" t="str">
        <f>tbl_financials[[#This Row],[Month_Name]] &amp; "_" &amp; (tbl_financials[[#This Row],[Year]]-1)</f>
        <v>February_2013</v>
      </c>
      <c r="X1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0" spans="1:24" x14ac:dyDescent="0.3">
      <c r="A20" t="s">
        <v>8</v>
      </c>
      <c r="B20" t="s">
        <v>13</v>
      </c>
      <c r="C20" t="s">
        <v>34</v>
      </c>
      <c r="D20" t="s">
        <v>38</v>
      </c>
      <c r="E20" s="9">
        <v>2518</v>
      </c>
      <c r="F20" s="7">
        <v>10</v>
      </c>
      <c r="G20" s="7">
        <v>12</v>
      </c>
      <c r="H20" s="7">
        <v>30216</v>
      </c>
      <c r="I20" s="5">
        <v>0</v>
      </c>
      <c r="J20" s="5">
        <v>30216</v>
      </c>
      <c r="K20" s="7">
        <v>7554</v>
      </c>
      <c r="L20" s="5">
        <v>22662</v>
      </c>
      <c r="M20" s="1">
        <v>41791</v>
      </c>
      <c r="N20">
        <v>6</v>
      </c>
      <c r="O20" t="s">
        <v>23</v>
      </c>
      <c r="P20" t="s">
        <v>12</v>
      </c>
      <c r="Q20" s="5">
        <f>tbl_financials[[#This Row],[Net_Sales]]</f>
        <v>30216</v>
      </c>
      <c r="R20" s="5">
        <f>ROUND(tbl_financials[[#This Row],[Revenue]]*(0.12+MOD(ROW(),7)/100),2)</f>
        <v>5438.88</v>
      </c>
      <c r="S20" s="7">
        <f t="shared" si="0"/>
        <v>1620</v>
      </c>
      <c r="T20" s="5">
        <f>tbl_financials[[#This Row],[Gross_Profit]]-tbl_financials[[#This Row],[Operating_Expenses]]+tbl_financials[[#This Row],[Other_Income]]</f>
        <v>18843.12</v>
      </c>
      <c r="U20" s="11">
        <f>IF(tbl_financials[[#This Row],[Revenue]]=0,0,tbl_financials[[#This Row],[Net_Profit]]/tbl_financials[[#This Row],[Revenue]])</f>
        <v>0.62361397934868945</v>
      </c>
      <c r="V20" s="11" t="str">
        <f>tbl_financials[[#This Row],[Month_Name]] &amp; "_" &amp; tbl_financials[[#This Row],[Year]]</f>
        <v>June_2014</v>
      </c>
      <c r="W20" s="11" t="str">
        <f>tbl_financials[[#This Row],[Month_Name]] &amp; "_" &amp; (tbl_financials[[#This Row],[Year]]-1)</f>
        <v>June_2013</v>
      </c>
      <c r="X2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1" spans="1:24" x14ac:dyDescent="0.3">
      <c r="A21" t="s">
        <v>7</v>
      </c>
      <c r="B21" t="s">
        <v>16</v>
      </c>
      <c r="C21" t="s">
        <v>34</v>
      </c>
      <c r="D21" t="s">
        <v>38</v>
      </c>
      <c r="E21" s="9">
        <v>1006</v>
      </c>
      <c r="F21" s="7">
        <v>10</v>
      </c>
      <c r="G21" s="7">
        <v>350</v>
      </c>
      <c r="H21" s="7">
        <v>352100</v>
      </c>
      <c r="I21" s="5">
        <v>0</v>
      </c>
      <c r="J21" s="5">
        <v>352100</v>
      </c>
      <c r="K21" s="7">
        <v>261560</v>
      </c>
      <c r="L21" s="5">
        <v>90540</v>
      </c>
      <c r="M21" s="1">
        <v>41791</v>
      </c>
      <c r="N21">
        <v>6</v>
      </c>
      <c r="O21" t="s">
        <v>23</v>
      </c>
      <c r="P21" t="s">
        <v>12</v>
      </c>
      <c r="Q21" s="5">
        <f>tbl_financials[[#This Row],[Net_Sales]]</f>
        <v>352100</v>
      </c>
      <c r="R21" s="5">
        <f>ROUND(tbl_financials[[#This Row],[Revenue]]*(0.12+MOD(ROW(),7)/100),2)</f>
        <v>42252</v>
      </c>
      <c r="S21" s="7">
        <f t="shared" si="0"/>
        <v>1651</v>
      </c>
      <c r="T21" s="5">
        <f>tbl_financials[[#This Row],[Gross_Profit]]-tbl_financials[[#This Row],[Operating_Expenses]]+tbl_financials[[#This Row],[Other_Income]]</f>
        <v>49939</v>
      </c>
      <c r="U21" s="11">
        <f>IF(tbl_financials[[#This Row],[Revenue]]=0,0,tbl_financials[[#This Row],[Net_Profit]]/tbl_financials[[#This Row],[Revenue]])</f>
        <v>0.14183186594717409</v>
      </c>
      <c r="V21" s="11" t="str">
        <f>tbl_financials[[#This Row],[Month_Name]] &amp; "_" &amp; tbl_financials[[#This Row],[Year]]</f>
        <v>June_2014</v>
      </c>
      <c r="W21" s="11" t="str">
        <f>tbl_financials[[#This Row],[Month_Name]] &amp; "_" &amp; (tbl_financials[[#This Row],[Year]]-1)</f>
        <v>June_2013</v>
      </c>
      <c r="X2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2" spans="1:24" x14ac:dyDescent="0.3">
      <c r="A22" t="s">
        <v>8</v>
      </c>
      <c r="B22" t="s">
        <v>16</v>
      </c>
      <c r="C22" t="s">
        <v>34</v>
      </c>
      <c r="D22" t="s">
        <v>38</v>
      </c>
      <c r="E22" s="9">
        <v>367</v>
      </c>
      <c r="F22" s="7">
        <v>10</v>
      </c>
      <c r="G22" s="7">
        <v>12</v>
      </c>
      <c r="H22" s="7">
        <v>4404</v>
      </c>
      <c r="I22" s="5">
        <v>0</v>
      </c>
      <c r="J22" s="5">
        <v>4404</v>
      </c>
      <c r="K22" s="7">
        <v>1101</v>
      </c>
      <c r="L22" s="5">
        <v>3303</v>
      </c>
      <c r="M22" s="1">
        <v>41821</v>
      </c>
      <c r="N22">
        <v>7</v>
      </c>
      <c r="O22" t="s">
        <v>24</v>
      </c>
      <c r="P22" t="s">
        <v>12</v>
      </c>
      <c r="Q22" s="5">
        <f>tbl_financials[[#This Row],[Net_Sales]]</f>
        <v>4404</v>
      </c>
      <c r="R22" s="5">
        <f>ROUND(tbl_financials[[#This Row],[Revenue]]*(0.12+MOD(ROW(),7)/100),2)</f>
        <v>572.52</v>
      </c>
      <c r="S22" s="7">
        <f t="shared" si="0"/>
        <v>1682</v>
      </c>
      <c r="T22" s="5">
        <f>tbl_financials[[#This Row],[Gross_Profit]]-tbl_financials[[#This Row],[Operating_Expenses]]+tbl_financials[[#This Row],[Other_Income]]</f>
        <v>4412.4799999999996</v>
      </c>
      <c r="U22" s="11">
        <f>IF(tbl_financials[[#This Row],[Revenue]]=0,0,tbl_financials[[#This Row],[Net_Profit]]/tbl_financials[[#This Row],[Revenue]])</f>
        <v>1.0019255222524976</v>
      </c>
      <c r="V22" s="11" t="str">
        <f>tbl_financials[[#This Row],[Month_Name]] &amp; "_" &amp; tbl_financials[[#This Row],[Year]]</f>
        <v>July_2014</v>
      </c>
      <c r="W22" s="11" t="str">
        <f>tbl_financials[[#This Row],[Month_Name]] &amp; "_" &amp; (tbl_financials[[#This Row],[Year]]-1)</f>
        <v>July_2013</v>
      </c>
      <c r="X2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3" spans="1:24" x14ac:dyDescent="0.3">
      <c r="A23" t="s">
        <v>7</v>
      </c>
      <c r="B23" t="s">
        <v>17</v>
      </c>
      <c r="C23" t="s">
        <v>34</v>
      </c>
      <c r="D23" t="s">
        <v>38</v>
      </c>
      <c r="E23" s="9">
        <v>883</v>
      </c>
      <c r="F23" s="7">
        <v>10</v>
      </c>
      <c r="G23" s="7">
        <v>7</v>
      </c>
      <c r="H23" s="7">
        <v>6181</v>
      </c>
      <c r="I23" s="5">
        <v>0</v>
      </c>
      <c r="J23" s="5">
        <v>6181</v>
      </c>
      <c r="K23" s="7">
        <v>4415</v>
      </c>
      <c r="L23" s="5">
        <v>1766</v>
      </c>
      <c r="M23" s="1">
        <v>41852</v>
      </c>
      <c r="N23">
        <v>8</v>
      </c>
      <c r="O23" t="s">
        <v>25</v>
      </c>
      <c r="P23" t="s">
        <v>12</v>
      </c>
      <c r="Q23" s="5">
        <f>tbl_financials[[#This Row],[Net_Sales]]</f>
        <v>6181</v>
      </c>
      <c r="R23" s="5">
        <f>ROUND(tbl_financials[[#This Row],[Revenue]]*(0.12+MOD(ROW(),7)/100),2)</f>
        <v>865.34</v>
      </c>
      <c r="S23" s="7">
        <f t="shared" si="0"/>
        <v>1713</v>
      </c>
      <c r="T23" s="5">
        <f>tbl_financials[[#This Row],[Gross_Profit]]-tbl_financials[[#This Row],[Operating_Expenses]]+tbl_financials[[#This Row],[Other_Income]]</f>
        <v>2613.66</v>
      </c>
      <c r="U23" s="11">
        <f>IF(tbl_financials[[#This Row],[Revenue]]=0,0,tbl_financials[[#This Row],[Net_Profit]]/tbl_financials[[#This Row],[Revenue]])</f>
        <v>0.42285390713476784</v>
      </c>
      <c r="V23" s="11" t="str">
        <f>tbl_financials[[#This Row],[Month_Name]] &amp; "_" &amp; tbl_financials[[#This Row],[Year]]</f>
        <v>August_2014</v>
      </c>
      <c r="W23" s="11" t="str">
        <f>tbl_financials[[#This Row],[Month_Name]] &amp; "_" &amp; (tbl_financials[[#This Row],[Year]]-1)</f>
        <v>August_2013</v>
      </c>
      <c r="X2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4" spans="1:24" x14ac:dyDescent="0.3">
      <c r="A24" t="s">
        <v>5</v>
      </c>
      <c r="B24" t="s">
        <v>15</v>
      </c>
      <c r="C24" t="s">
        <v>34</v>
      </c>
      <c r="D24" t="s">
        <v>38</v>
      </c>
      <c r="E24" s="9">
        <v>549</v>
      </c>
      <c r="F24" s="7">
        <v>10</v>
      </c>
      <c r="G24" s="7">
        <v>15</v>
      </c>
      <c r="H24" s="7">
        <v>8235</v>
      </c>
      <c r="I24" s="5">
        <v>0</v>
      </c>
      <c r="J24" s="5">
        <v>8235</v>
      </c>
      <c r="K24" s="7">
        <v>5490</v>
      </c>
      <c r="L24" s="5">
        <v>2745</v>
      </c>
      <c r="M24" s="1">
        <v>41518</v>
      </c>
      <c r="N24">
        <v>9</v>
      </c>
      <c r="O24" t="s">
        <v>26</v>
      </c>
      <c r="P24" t="s">
        <v>11</v>
      </c>
      <c r="Q24" s="5">
        <f>tbl_financials[[#This Row],[Net_Sales]]</f>
        <v>8235</v>
      </c>
      <c r="R24" s="5">
        <f>ROUND(tbl_financials[[#This Row],[Revenue]]*(0.12+MOD(ROW(),7)/100),2)</f>
        <v>1235.25</v>
      </c>
      <c r="S24" s="7">
        <f t="shared" si="0"/>
        <v>1744</v>
      </c>
      <c r="T24" s="5">
        <f>tbl_financials[[#This Row],[Gross_Profit]]-tbl_financials[[#This Row],[Operating_Expenses]]+tbl_financials[[#This Row],[Other_Income]]</f>
        <v>3253.75</v>
      </c>
      <c r="U24" s="11">
        <f>IF(tbl_financials[[#This Row],[Revenue]]=0,0,tbl_financials[[#This Row],[Net_Profit]]/tbl_financials[[#This Row],[Revenue]])</f>
        <v>0.39511232544019431</v>
      </c>
      <c r="V24" s="11" t="str">
        <f>tbl_financials[[#This Row],[Month_Name]] &amp; "_" &amp; tbl_financials[[#This Row],[Year]]</f>
        <v>September_2013</v>
      </c>
      <c r="W24" s="11" t="str">
        <f>tbl_financials[[#This Row],[Month_Name]] &amp; "_" &amp; (tbl_financials[[#This Row],[Year]]-1)</f>
        <v>September_2012</v>
      </c>
      <c r="X2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5" spans="1:24" x14ac:dyDescent="0.3">
      <c r="A25" t="s">
        <v>4</v>
      </c>
      <c r="B25" t="s">
        <v>17</v>
      </c>
      <c r="C25" t="s">
        <v>34</v>
      </c>
      <c r="D25" t="s">
        <v>38</v>
      </c>
      <c r="E25" s="9">
        <v>788</v>
      </c>
      <c r="F25" s="7">
        <v>10</v>
      </c>
      <c r="G25" s="7">
        <v>300</v>
      </c>
      <c r="H25" s="7">
        <v>236400</v>
      </c>
      <c r="I25" s="5">
        <v>0</v>
      </c>
      <c r="J25" s="5">
        <v>236400</v>
      </c>
      <c r="K25" s="7">
        <v>197000</v>
      </c>
      <c r="L25" s="5">
        <v>39400</v>
      </c>
      <c r="M25" s="1">
        <v>41518</v>
      </c>
      <c r="N25">
        <v>9</v>
      </c>
      <c r="O25" t="s">
        <v>26</v>
      </c>
      <c r="P25" t="s">
        <v>11</v>
      </c>
      <c r="Q25" s="5">
        <f>tbl_financials[[#This Row],[Net_Sales]]</f>
        <v>236400</v>
      </c>
      <c r="R25" s="5">
        <f>ROUND(tbl_financials[[#This Row],[Revenue]]*(0.12+MOD(ROW(),7)/100),2)</f>
        <v>37824</v>
      </c>
      <c r="S25" s="7">
        <f t="shared" si="0"/>
        <v>1775</v>
      </c>
      <c r="T25" s="5">
        <f>tbl_financials[[#This Row],[Gross_Profit]]-tbl_financials[[#This Row],[Operating_Expenses]]+tbl_financials[[#This Row],[Other_Income]]</f>
        <v>3351</v>
      </c>
      <c r="U25" s="11">
        <f>IF(tbl_financials[[#This Row],[Revenue]]=0,0,tbl_financials[[#This Row],[Net_Profit]]/tbl_financials[[#This Row],[Revenue]])</f>
        <v>1.41751269035533E-2</v>
      </c>
      <c r="V25" s="11" t="str">
        <f>tbl_financials[[#This Row],[Month_Name]] &amp; "_" &amp; tbl_financials[[#This Row],[Year]]</f>
        <v>September_2013</v>
      </c>
      <c r="W25" s="11" t="str">
        <f>tbl_financials[[#This Row],[Month_Name]] &amp; "_" &amp; (tbl_financials[[#This Row],[Year]]-1)</f>
        <v>September_2012</v>
      </c>
      <c r="X2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6" spans="1:24" x14ac:dyDescent="0.3">
      <c r="A26" t="s">
        <v>5</v>
      </c>
      <c r="B26" t="s">
        <v>17</v>
      </c>
      <c r="C26" t="s">
        <v>34</v>
      </c>
      <c r="D26" t="s">
        <v>38</v>
      </c>
      <c r="E26" s="9">
        <v>2472</v>
      </c>
      <c r="F26" s="7">
        <v>10</v>
      </c>
      <c r="G26" s="7">
        <v>15</v>
      </c>
      <c r="H26" s="7">
        <v>37080</v>
      </c>
      <c r="I26" s="5">
        <v>0</v>
      </c>
      <c r="J26" s="5">
        <v>37080</v>
      </c>
      <c r="K26" s="7">
        <v>24720</v>
      </c>
      <c r="L26" s="5">
        <v>12360</v>
      </c>
      <c r="M26" s="1">
        <v>41883</v>
      </c>
      <c r="N26">
        <v>9</v>
      </c>
      <c r="O26" t="s">
        <v>26</v>
      </c>
      <c r="P26" t="s">
        <v>12</v>
      </c>
      <c r="Q26" s="5">
        <f>tbl_financials[[#This Row],[Net_Sales]]</f>
        <v>37080</v>
      </c>
      <c r="R26" s="5">
        <f>ROUND(tbl_financials[[#This Row],[Revenue]]*(0.12+MOD(ROW(),7)/100),2)</f>
        <v>6303.6</v>
      </c>
      <c r="S26" s="7">
        <f t="shared" si="0"/>
        <v>1806</v>
      </c>
      <c r="T26" s="5">
        <f>tbl_financials[[#This Row],[Gross_Profit]]-tbl_financials[[#This Row],[Operating_Expenses]]+tbl_financials[[#This Row],[Other_Income]]</f>
        <v>7862.4</v>
      </c>
      <c r="U26" s="11">
        <f>IF(tbl_financials[[#This Row],[Revenue]]=0,0,tbl_financials[[#This Row],[Net_Profit]]/tbl_financials[[#This Row],[Revenue]])</f>
        <v>0.21203883495145631</v>
      </c>
      <c r="V26" s="11" t="str">
        <f>tbl_financials[[#This Row],[Month_Name]] &amp; "_" &amp; tbl_financials[[#This Row],[Year]]</f>
        <v>September_2014</v>
      </c>
      <c r="W26" s="11" t="str">
        <f>tbl_financials[[#This Row],[Month_Name]] &amp; "_" &amp; (tbl_financials[[#This Row],[Year]]-1)</f>
        <v>September_2013</v>
      </c>
      <c r="X2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3.5027322404371586</v>
      </c>
    </row>
    <row r="27" spans="1:24" x14ac:dyDescent="0.3">
      <c r="A27" t="s">
        <v>7</v>
      </c>
      <c r="B27" t="s">
        <v>14</v>
      </c>
      <c r="C27" t="s">
        <v>34</v>
      </c>
      <c r="D27" t="s">
        <v>38</v>
      </c>
      <c r="E27" s="9">
        <v>1143</v>
      </c>
      <c r="F27" s="7">
        <v>10</v>
      </c>
      <c r="G27" s="7">
        <v>7</v>
      </c>
      <c r="H27" s="7">
        <v>8001</v>
      </c>
      <c r="I27" s="5">
        <v>0</v>
      </c>
      <c r="J27" s="5">
        <v>8001</v>
      </c>
      <c r="K27" s="7">
        <v>5715</v>
      </c>
      <c r="L27" s="5">
        <v>2286</v>
      </c>
      <c r="M27" s="1">
        <v>41913</v>
      </c>
      <c r="N27">
        <v>10</v>
      </c>
      <c r="O27" t="s">
        <v>27</v>
      </c>
      <c r="P27" t="s">
        <v>12</v>
      </c>
      <c r="Q27" s="5">
        <f>tbl_financials[[#This Row],[Net_Sales]]</f>
        <v>8001</v>
      </c>
      <c r="R27" s="5">
        <f>ROUND(tbl_financials[[#This Row],[Revenue]]*(0.12+MOD(ROW(),7)/100),2)</f>
        <v>1440.18</v>
      </c>
      <c r="S27" s="7">
        <f t="shared" si="0"/>
        <v>1837</v>
      </c>
      <c r="T27" s="5">
        <f>tbl_financials[[#This Row],[Gross_Profit]]-tbl_financials[[#This Row],[Operating_Expenses]]+tbl_financials[[#This Row],[Other_Income]]</f>
        <v>2682.8199999999997</v>
      </c>
      <c r="U27" s="11">
        <f>IF(tbl_financials[[#This Row],[Revenue]]=0,0,tbl_financials[[#This Row],[Net_Profit]]/tbl_financials[[#This Row],[Revenue]])</f>
        <v>0.33531058617672788</v>
      </c>
      <c r="V27" s="11" t="str">
        <f>tbl_financials[[#This Row],[Month_Name]] &amp; "_" &amp; tbl_financials[[#This Row],[Year]]</f>
        <v>October_2014</v>
      </c>
      <c r="W27" s="11" t="str">
        <f>tbl_financials[[#This Row],[Month_Name]] &amp; "_" &amp; (tbl_financials[[#This Row],[Year]]-1)</f>
        <v>October_2013</v>
      </c>
      <c r="X2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-0.81446956521739133</v>
      </c>
    </row>
    <row r="28" spans="1:24" x14ac:dyDescent="0.3">
      <c r="A28" t="s">
        <v>7</v>
      </c>
      <c r="B28" t="s">
        <v>13</v>
      </c>
      <c r="C28" t="s">
        <v>34</v>
      </c>
      <c r="D28" t="s">
        <v>38</v>
      </c>
      <c r="E28" s="9">
        <v>1725</v>
      </c>
      <c r="F28" s="7">
        <v>10</v>
      </c>
      <c r="G28" s="7">
        <v>350</v>
      </c>
      <c r="H28" s="7">
        <v>603750</v>
      </c>
      <c r="I28" s="5">
        <v>0</v>
      </c>
      <c r="J28" s="5">
        <v>603750</v>
      </c>
      <c r="K28" s="7">
        <v>448500</v>
      </c>
      <c r="L28" s="5">
        <v>155250</v>
      </c>
      <c r="M28" s="1">
        <v>41579</v>
      </c>
      <c r="N28">
        <v>11</v>
      </c>
      <c r="O28" t="s">
        <v>28</v>
      </c>
      <c r="P28" t="s">
        <v>11</v>
      </c>
      <c r="Q28" s="5">
        <f>tbl_financials[[#This Row],[Net_Sales]]</f>
        <v>603750</v>
      </c>
      <c r="R28" s="5">
        <f>ROUND(tbl_financials[[#This Row],[Revenue]]*(0.12+MOD(ROW(),7)/100),2)</f>
        <v>72450</v>
      </c>
      <c r="S28" s="7">
        <f t="shared" si="0"/>
        <v>1868</v>
      </c>
      <c r="T28" s="5">
        <f>tbl_financials[[#This Row],[Gross_Profit]]-tbl_financials[[#This Row],[Operating_Expenses]]+tbl_financials[[#This Row],[Other_Income]]</f>
        <v>84668</v>
      </c>
      <c r="U28" s="11">
        <f>IF(tbl_financials[[#This Row],[Revenue]]=0,0,tbl_financials[[#This Row],[Net_Profit]]/tbl_financials[[#This Row],[Revenue]])</f>
        <v>0.14023685300207039</v>
      </c>
      <c r="V28" s="11" t="str">
        <f>tbl_financials[[#This Row],[Month_Name]] &amp; "_" &amp; tbl_financials[[#This Row],[Year]]</f>
        <v>November_2013</v>
      </c>
      <c r="W28" s="11" t="str">
        <f>tbl_financials[[#This Row],[Month_Name]] &amp; "_" &amp; (tbl_financials[[#This Row],[Year]]-1)</f>
        <v>November_2012</v>
      </c>
      <c r="X2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9" spans="1:24" x14ac:dyDescent="0.3">
      <c r="A29" t="s">
        <v>8</v>
      </c>
      <c r="B29" t="s">
        <v>14</v>
      </c>
      <c r="C29" t="s">
        <v>34</v>
      </c>
      <c r="D29" t="s">
        <v>38</v>
      </c>
      <c r="E29" s="9">
        <v>912</v>
      </c>
      <c r="F29" s="7">
        <v>10</v>
      </c>
      <c r="G29" s="7">
        <v>12</v>
      </c>
      <c r="H29" s="7">
        <v>10944</v>
      </c>
      <c r="I29" s="5">
        <v>0</v>
      </c>
      <c r="J29" s="5">
        <v>10944</v>
      </c>
      <c r="K29" s="7">
        <v>2736</v>
      </c>
      <c r="L29" s="5">
        <v>8208</v>
      </c>
      <c r="M29" s="1">
        <v>41579</v>
      </c>
      <c r="N29">
        <v>11</v>
      </c>
      <c r="O29" t="s">
        <v>28</v>
      </c>
      <c r="P29" t="s">
        <v>11</v>
      </c>
      <c r="Q29" s="5">
        <f>tbl_financials[[#This Row],[Net_Sales]]</f>
        <v>10944</v>
      </c>
      <c r="R29" s="5">
        <f>ROUND(tbl_financials[[#This Row],[Revenue]]*(0.12+MOD(ROW(),7)/100),2)</f>
        <v>1422.72</v>
      </c>
      <c r="S29" s="7">
        <f t="shared" si="0"/>
        <v>1899</v>
      </c>
      <c r="T29" s="5">
        <f>tbl_financials[[#This Row],[Gross_Profit]]-tbl_financials[[#This Row],[Operating_Expenses]]+tbl_financials[[#This Row],[Other_Income]]</f>
        <v>8684.2799999999988</v>
      </c>
      <c r="U29" s="11">
        <f>IF(tbl_financials[[#This Row],[Revenue]]=0,0,tbl_financials[[#This Row],[Net_Profit]]/tbl_financials[[#This Row],[Revenue]])</f>
        <v>0.79351973684210519</v>
      </c>
      <c r="V29" s="11" t="str">
        <f>tbl_financials[[#This Row],[Month_Name]] &amp; "_" &amp; tbl_financials[[#This Row],[Year]]</f>
        <v>November_2013</v>
      </c>
      <c r="W29" s="11" t="str">
        <f>tbl_financials[[#This Row],[Month_Name]] &amp; "_" &amp; (tbl_financials[[#This Row],[Year]]-1)</f>
        <v>November_2012</v>
      </c>
      <c r="X2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0" spans="1:24" x14ac:dyDescent="0.3">
      <c r="A30" t="s">
        <v>5</v>
      </c>
      <c r="B30" t="s">
        <v>13</v>
      </c>
      <c r="C30" t="s">
        <v>34</v>
      </c>
      <c r="D30" t="s">
        <v>38</v>
      </c>
      <c r="E30" s="9">
        <v>2152</v>
      </c>
      <c r="F30" s="7">
        <v>10</v>
      </c>
      <c r="G30" s="7">
        <v>15</v>
      </c>
      <c r="H30" s="7">
        <v>32280</v>
      </c>
      <c r="I30" s="5">
        <v>0</v>
      </c>
      <c r="J30" s="5">
        <v>32280</v>
      </c>
      <c r="K30" s="7">
        <v>21520</v>
      </c>
      <c r="L30" s="5">
        <v>10760</v>
      </c>
      <c r="M30" s="1">
        <v>41609</v>
      </c>
      <c r="N30">
        <v>12</v>
      </c>
      <c r="O30" t="s">
        <v>29</v>
      </c>
      <c r="P30" t="s">
        <v>11</v>
      </c>
      <c r="Q30" s="5">
        <f>tbl_financials[[#This Row],[Net_Sales]]</f>
        <v>32280</v>
      </c>
      <c r="R30" s="5">
        <f>ROUND(tbl_financials[[#This Row],[Revenue]]*(0.12+MOD(ROW(),7)/100),2)</f>
        <v>4519.2</v>
      </c>
      <c r="S30" s="7">
        <f t="shared" si="0"/>
        <v>1930</v>
      </c>
      <c r="T30" s="5">
        <f>tbl_financials[[#This Row],[Gross_Profit]]-tbl_financials[[#This Row],[Operating_Expenses]]+tbl_financials[[#This Row],[Other_Income]]</f>
        <v>8170.8</v>
      </c>
      <c r="U30" s="11">
        <f>IF(tbl_financials[[#This Row],[Revenue]]=0,0,tbl_financials[[#This Row],[Net_Profit]]/tbl_financials[[#This Row],[Revenue]])</f>
        <v>0.25312267657992565</v>
      </c>
      <c r="V30" s="11" t="str">
        <f>tbl_financials[[#This Row],[Month_Name]] &amp; "_" &amp; tbl_financials[[#This Row],[Year]]</f>
        <v>December_2013</v>
      </c>
      <c r="W30" s="11" t="str">
        <f>tbl_financials[[#This Row],[Month_Name]] &amp; "_" &amp; (tbl_financials[[#This Row],[Year]]-1)</f>
        <v>December_2012</v>
      </c>
      <c r="X3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1" spans="1:24" x14ac:dyDescent="0.3">
      <c r="A31" t="s">
        <v>7</v>
      </c>
      <c r="B31" t="s">
        <v>13</v>
      </c>
      <c r="C31" t="s">
        <v>34</v>
      </c>
      <c r="D31" t="s">
        <v>38</v>
      </c>
      <c r="E31" s="9">
        <v>1817</v>
      </c>
      <c r="F31" s="7">
        <v>10</v>
      </c>
      <c r="G31" s="7">
        <v>20</v>
      </c>
      <c r="H31" s="7">
        <v>36340</v>
      </c>
      <c r="I31" s="5">
        <v>0</v>
      </c>
      <c r="J31" s="5">
        <v>36340</v>
      </c>
      <c r="K31" s="7">
        <v>18170</v>
      </c>
      <c r="L31" s="5">
        <v>18170</v>
      </c>
      <c r="M31" s="1">
        <v>41974</v>
      </c>
      <c r="N31">
        <v>12</v>
      </c>
      <c r="O31" t="s">
        <v>29</v>
      </c>
      <c r="P31" t="s">
        <v>12</v>
      </c>
      <c r="Q31" s="5">
        <f>tbl_financials[[#This Row],[Net_Sales]]</f>
        <v>36340</v>
      </c>
      <c r="R31" s="5">
        <f>ROUND(tbl_financials[[#This Row],[Revenue]]*(0.12+MOD(ROW(),7)/100),2)</f>
        <v>5451</v>
      </c>
      <c r="S31" s="7">
        <f t="shared" si="0"/>
        <v>1961</v>
      </c>
      <c r="T31" s="5">
        <f>tbl_financials[[#This Row],[Gross_Profit]]-tbl_financials[[#This Row],[Operating_Expenses]]+tbl_financials[[#This Row],[Other_Income]]</f>
        <v>14680</v>
      </c>
      <c r="U31" s="11">
        <f>IF(tbl_financials[[#This Row],[Revenue]]=0,0,tbl_financials[[#This Row],[Net_Profit]]/tbl_financials[[#This Row],[Revenue]])</f>
        <v>0.4039625756741882</v>
      </c>
      <c r="V31" s="11" t="str">
        <f>tbl_financials[[#This Row],[Month_Name]] &amp; "_" &amp; tbl_financials[[#This Row],[Year]]</f>
        <v>December_2014</v>
      </c>
      <c r="W31" s="11" t="str">
        <f>tbl_financials[[#This Row],[Month_Name]] &amp; "_" &amp; (tbl_financials[[#This Row],[Year]]-1)</f>
        <v>December_2013</v>
      </c>
      <c r="X3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0.12577447335811648</v>
      </c>
    </row>
    <row r="32" spans="1:24" x14ac:dyDescent="0.3">
      <c r="A32" t="s">
        <v>7</v>
      </c>
      <c r="B32" t="s">
        <v>16</v>
      </c>
      <c r="C32" t="s">
        <v>34</v>
      </c>
      <c r="D32" t="s">
        <v>38</v>
      </c>
      <c r="E32" s="9">
        <v>1513</v>
      </c>
      <c r="F32" s="7">
        <v>10</v>
      </c>
      <c r="G32" s="7">
        <v>350</v>
      </c>
      <c r="H32" s="7">
        <v>529550</v>
      </c>
      <c r="I32" s="5">
        <v>0</v>
      </c>
      <c r="J32" s="5">
        <v>529550</v>
      </c>
      <c r="K32" s="7">
        <v>393380</v>
      </c>
      <c r="L32" s="5">
        <v>136170</v>
      </c>
      <c r="M32" s="1">
        <v>41974</v>
      </c>
      <c r="N32">
        <v>12</v>
      </c>
      <c r="O32" t="s">
        <v>29</v>
      </c>
      <c r="P32" t="s">
        <v>12</v>
      </c>
      <c r="Q32" s="5">
        <f>tbl_financials[[#This Row],[Net_Sales]]</f>
        <v>529550</v>
      </c>
      <c r="R32" s="5">
        <f>ROUND(tbl_financials[[#This Row],[Revenue]]*(0.12+MOD(ROW(),7)/100),2)</f>
        <v>84728</v>
      </c>
      <c r="S32" s="7">
        <f t="shared" si="0"/>
        <v>1992</v>
      </c>
      <c r="T32" s="5">
        <f>tbl_financials[[#This Row],[Gross_Profit]]-tbl_financials[[#This Row],[Operating_Expenses]]+tbl_financials[[#This Row],[Other_Income]]</f>
        <v>53434</v>
      </c>
      <c r="U32" s="11">
        <f>IF(tbl_financials[[#This Row],[Revenue]]=0,0,tbl_financials[[#This Row],[Net_Profit]]/tbl_financials[[#This Row],[Revenue]])</f>
        <v>0.10090454159191767</v>
      </c>
      <c r="V32" s="11" t="str">
        <f>tbl_financials[[#This Row],[Month_Name]] &amp; "_" &amp; tbl_financials[[#This Row],[Year]]</f>
        <v>December_2014</v>
      </c>
      <c r="W32" s="11" t="str">
        <f>tbl_financials[[#This Row],[Month_Name]] &amp; "_" &amp; (tbl_financials[[#This Row],[Year]]-1)</f>
        <v>December_2013</v>
      </c>
      <c r="X3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15.404894671623296</v>
      </c>
    </row>
    <row r="33" spans="1:24" x14ac:dyDescent="0.3">
      <c r="A33" t="s">
        <v>7</v>
      </c>
      <c r="B33" t="s">
        <v>17</v>
      </c>
      <c r="C33" t="s">
        <v>35</v>
      </c>
      <c r="D33" t="s">
        <v>38</v>
      </c>
      <c r="E33" s="9">
        <v>1493</v>
      </c>
      <c r="F33" s="7">
        <v>120</v>
      </c>
      <c r="G33" s="7">
        <v>7</v>
      </c>
      <c r="H33" s="7">
        <v>10451</v>
      </c>
      <c r="I33" s="5">
        <v>0</v>
      </c>
      <c r="J33" s="5">
        <v>10451</v>
      </c>
      <c r="K33" s="7">
        <v>7465</v>
      </c>
      <c r="L33" s="5">
        <v>2986</v>
      </c>
      <c r="M33" s="1">
        <v>41640</v>
      </c>
      <c r="N33">
        <v>1</v>
      </c>
      <c r="O33" t="s">
        <v>18</v>
      </c>
      <c r="P33" t="s">
        <v>12</v>
      </c>
      <c r="Q33" s="5">
        <f>tbl_financials[[#This Row],[Net_Sales]]</f>
        <v>10451</v>
      </c>
      <c r="R33" s="5">
        <f>ROUND(tbl_financials[[#This Row],[Revenue]]*(0.12+MOD(ROW(),7)/100),2)</f>
        <v>1776.67</v>
      </c>
      <c r="S33" s="7">
        <f t="shared" si="0"/>
        <v>2023</v>
      </c>
      <c r="T33" s="5">
        <f>tbl_financials[[#This Row],[Gross_Profit]]-tbl_financials[[#This Row],[Operating_Expenses]]+tbl_financials[[#This Row],[Other_Income]]</f>
        <v>3232.33</v>
      </c>
      <c r="U33" s="11">
        <f>IF(tbl_financials[[#This Row],[Revenue]]=0,0,tbl_financials[[#This Row],[Net_Profit]]/tbl_financials[[#This Row],[Revenue]])</f>
        <v>0.30928427901636207</v>
      </c>
      <c r="V33" s="11" t="str">
        <f>tbl_financials[[#This Row],[Month_Name]] &amp; "_" &amp; tbl_financials[[#This Row],[Year]]</f>
        <v>January_2014</v>
      </c>
      <c r="W33" s="11" t="str">
        <f>tbl_financials[[#This Row],[Month_Name]] &amp; "_" &amp; (tbl_financials[[#This Row],[Year]]-1)</f>
        <v>January_2013</v>
      </c>
      <c r="X3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4" spans="1:24" x14ac:dyDescent="0.3">
      <c r="A34" t="s">
        <v>6</v>
      </c>
      <c r="B34" t="s">
        <v>15</v>
      </c>
      <c r="C34" t="s">
        <v>35</v>
      </c>
      <c r="D34" t="s">
        <v>38</v>
      </c>
      <c r="E34" s="9">
        <v>1804</v>
      </c>
      <c r="F34" s="7">
        <v>120</v>
      </c>
      <c r="G34" s="7">
        <v>125</v>
      </c>
      <c r="H34" s="7">
        <v>225500</v>
      </c>
      <c r="I34" s="5">
        <v>0</v>
      </c>
      <c r="J34" s="5">
        <v>225500</v>
      </c>
      <c r="K34" s="7">
        <v>216480</v>
      </c>
      <c r="L34" s="5">
        <v>9020</v>
      </c>
      <c r="M34" s="1">
        <v>41671</v>
      </c>
      <c r="N34">
        <v>2</v>
      </c>
      <c r="O34" t="s">
        <v>19</v>
      </c>
      <c r="P34" t="s">
        <v>12</v>
      </c>
      <c r="Q34" s="5">
        <f>tbl_financials[[#This Row],[Net_Sales]]</f>
        <v>225500</v>
      </c>
      <c r="R34" s="5">
        <f>ROUND(tbl_financials[[#This Row],[Revenue]]*(0.12+MOD(ROW(),7)/100),2)</f>
        <v>40590</v>
      </c>
      <c r="S34" s="7">
        <f t="shared" si="0"/>
        <v>2054</v>
      </c>
      <c r="T34" s="5">
        <f>tbl_financials[[#This Row],[Gross_Profit]]-tbl_financials[[#This Row],[Operating_Expenses]]+tbl_financials[[#This Row],[Other_Income]]</f>
        <v>-29516</v>
      </c>
      <c r="U34" s="11">
        <f>IF(tbl_financials[[#This Row],[Revenue]]=0,0,tbl_financials[[#This Row],[Net_Profit]]/tbl_financials[[#This Row],[Revenue]])</f>
        <v>-0.13089135254988912</v>
      </c>
      <c r="V34" s="11" t="str">
        <f>tbl_financials[[#This Row],[Month_Name]] &amp; "_" &amp; tbl_financials[[#This Row],[Year]]</f>
        <v>February_2014</v>
      </c>
      <c r="W34" s="11" t="str">
        <f>tbl_financials[[#This Row],[Month_Name]] &amp; "_" &amp; (tbl_financials[[#This Row],[Year]]-1)</f>
        <v>February_2013</v>
      </c>
      <c r="X3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5" spans="1:24" x14ac:dyDescent="0.3">
      <c r="A35" t="s">
        <v>8</v>
      </c>
      <c r="B35" t="s">
        <v>16</v>
      </c>
      <c r="C35" t="s">
        <v>35</v>
      </c>
      <c r="D35" t="s">
        <v>38</v>
      </c>
      <c r="E35" s="9">
        <v>2161</v>
      </c>
      <c r="F35" s="7">
        <v>120</v>
      </c>
      <c r="G35" s="7">
        <v>12</v>
      </c>
      <c r="H35" s="7">
        <v>25932</v>
      </c>
      <c r="I35" s="5">
        <v>0</v>
      </c>
      <c r="J35" s="5">
        <v>25932</v>
      </c>
      <c r="K35" s="7">
        <v>6483</v>
      </c>
      <c r="L35" s="5">
        <v>19449</v>
      </c>
      <c r="M35" s="1">
        <v>41699</v>
      </c>
      <c r="N35">
        <v>3</v>
      </c>
      <c r="O35" t="s">
        <v>20</v>
      </c>
      <c r="P35" t="s">
        <v>12</v>
      </c>
      <c r="Q35" s="5">
        <f>tbl_financials[[#This Row],[Net_Sales]]</f>
        <v>25932</v>
      </c>
      <c r="R35" s="5">
        <f>ROUND(tbl_financials[[#This Row],[Revenue]]*(0.12+MOD(ROW(),7)/100),2)</f>
        <v>3111.84</v>
      </c>
      <c r="S35" s="7">
        <f t="shared" si="0"/>
        <v>2085</v>
      </c>
      <c r="T35" s="5">
        <f>tbl_financials[[#This Row],[Gross_Profit]]-tbl_financials[[#This Row],[Operating_Expenses]]+tbl_financials[[#This Row],[Other_Income]]</f>
        <v>18422.16</v>
      </c>
      <c r="U35" s="11">
        <f>IF(tbl_financials[[#This Row],[Revenue]]=0,0,tbl_financials[[#This Row],[Net_Profit]]/tbl_financials[[#This Row],[Revenue]])</f>
        <v>0.71040259139287365</v>
      </c>
      <c r="V35" s="11" t="str">
        <f>tbl_financials[[#This Row],[Month_Name]] &amp; "_" &amp; tbl_financials[[#This Row],[Year]]</f>
        <v>March_2014</v>
      </c>
      <c r="W35" s="11" t="str">
        <f>tbl_financials[[#This Row],[Month_Name]] &amp; "_" &amp; (tbl_financials[[#This Row],[Year]]-1)</f>
        <v>March_2013</v>
      </c>
      <c r="X3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6" spans="1:24" x14ac:dyDescent="0.3">
      <c r="A36" t="s">
        <v>7</v>
      </c>
      <c r="B36" t="s">
        <v>16</v>
      </c>
      <c r="C36" t="s">
        <v>35</v>
      </c>
      <c r="D36" t="s">
        <v>38</v>
      </c>
      <c r="E36" s="9">
        <v>1006</v>
      </c>
      <c r="F36" s="7">
        <v>120</v>
      </c>
      <c r="G36" s="7">
        <v>350</v>
      </c>
      <c r="H36" s="7">
        <v>352100</v>
      </c>
      <c r="I36" s="5">
        <v>0</v>
      </c>
      <c r="J36" s="5">
        <v>352100</v>
      </c>
      <c r="K36" s="7">
        <v>261560</v>
      </c>
      <c r="L36" s="5">
        <v>90540</v>
      </c>
      <c r="M36" s="1">
        <v>41791</v>
      </c>
      <c r="N36">
        <v>6</v>
      </c>
      <c r="O36" t="s">
        <v>23</v>
      </c>
      <c r="P36" t="s">
        <v>12</v>
      </c>
      <c r="Q36" s="5">
        <f>tbl_financials[[#This Row],[Net_Sales]]</f>
        <v>352100</v>
      </c>
      <c r="R36" s="5">
        <f>ROUND(tbl_financials[[#This Row],[Revenue]]*(0.12+MOD(ROW(),7)/100),2)</f>
        <v>45773</v>
      </c>
      <c r="S36" s="7">
        <f t="shared" si="0"/>
        <v>2116</v>
      </c>
      <c r="T36" s="5">
        <f>tbl_financials[[#This Row],[Gross_Profit]]-tbl_financials[[#This Row],[Operating_Expenses]]+tbl_financials[[#This Row],[Other_Income]]</f>
        <v>46883</v>
      </c>
      <c r="U36" s="11">
        <f>IF(tbl_financials[[#This Row],[Revenue]]=0,0,tbl_financials[[#This Row],[Net_Profit]]/tbl_financials[[#This Row],[Revenue]])</f>
        <v>0.13315251349048565</v>
      </c>
      <c r="V36" s="11" t="str">
        <f>tbl_financials[[#This Row],[Month_Name]] &amp; "_" &amp; tbl_financials[[#This Row],[Year]]</f>
        <v>June_2014</v>
      </c>
      <c r="W36" s="11" t="str">
        <f>tbl_financials[[#This Row],[Month_Name]] &amp; "_" &amp; (tbl_financials[[#This Row],[Year]]-1)</f>
        <v>June_2013</v>
      </c>
      <c r="X3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7" spans="1:24" x14ac:dyDescent="0.3">
      <c r="A37" t="s">
        <v>8</v>
      </c>
      <c r="B37" t="s">
        <v>16</v>
      </c>
      <c r="C37" t="s">
        <v>35</v>
      </c>
      <c r="D37" t="s">
        <v>38</v>
      </c>
      <c r="E37" s="9">
        <v>1545</v>
      </c>
      <c r="F37" s="7">
        <v>120</v>
      </c>
      <c r="G37" s="7">
        <v>12</v>
      </c>
      <c r="H37" s="7">
        <v>18540</v>
      </c>
      <c r="I37" s="5">
        <v>0</v>
      </c>
      <c r="J37" s="5">
        <v>18540</v>
      </c>
      <c r="K37" s="7">
        <v>4635</v>
      </c>
      <c r="L37" s="5">
        <v>13905</v>
      </c>
      <c r="M37" s="1">
        <v>41791</v>
      </c>
      <c r="N37">
        <v>6</v>
      </c>
      <c r="O37" t="s">
        <v>23</v>
      </c>
      <c r="P37" t="s">
        <v>12</v>
      </c>
      <c r="Q37" s="5">
        <f>tbl_financials[[#This Row],[Net_Sales]]</f>
        <v>18540</v>
      </c>
      <c r="R37" s="5">
        <f>ROUND(tbl_financials[[#This Row],[Revenue]]*(0.12+MOD(ROW(),7)/100),2)</f>
        <v>2595.6</v>
      </c>
      <c r="S37" s="7">
        <f t="shared" si="0"/>
        <v>2147</v>
      </c>
      <c r="T37" s="5">
        <f>tbl_financials[[#This Row],[Gross_Profit]]-tbl_financials[[#This Row],[Operating_Expenses]]+tbl_financials[[#This Row],[Other_Income]]</f>
        <v>13456.4</v>
      </c>
      <c r="U37" s="11">
        <f>IF(tbl_financials[[#This Row],[Revenue]]=0,0,tbl_financials[[#This Row],[Net_Profit]]/tbl_financials[[#This Row],[Revenue]])</f>
        <v>0.72580366774541527</v>
      </c>
      <c r="V37" s="11" t="str">
        <f>tbl_financials[[#This Row],[Month_Name]] &amp; "_" &amp; tbl_financials[[#This Row],[Year]]</f>
        <v>June_2014</v>
      </c>
      <c r="W37" s="11" t="str">
        <f>tbl_financials[[#This Row],[Month_Name]] &amp; "_" &amp; (tbl_financials[[#This Row],[Year]]-1)</f>
        <v>June_2013</v>
      </c>
      <c r="X3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8" spans="1:24" x14ac:dyDescent="0.3">
      <c r="A38" t="s">
        <v>6</v>
      </c>
      <c r="B38" t="s">
        <v>14</v>
      </c>
      <c r="C38" t="s">
        <v>35</v>
      </c>
      <c r="D38" t="s">
        <v>38</v>
      </c>
      <c r="E38" s="9">
        <v>2821</v>
      </c>
      <c r="F38" s="7">
        <v>120</v>
      </c>
      <c r="G38" s="7">
        <v>125</v>
      </c>
      <c r="H38" s="7">
        <v>352625</v>
      </c>
      <c r="I38" s="5">
        <v>0</v>
      </c>
      <c r="J38" s="5">
        <v>352625</v>
      </c>
      <c r="K38" s="7">
        <v>338520</v>
      </c>
      <c r="L38" s="5">
        <v>14105</v>
      </c>
      <c r="M38" s="1">
        <v>41852</v>
      </c>
      <c r="N38">
        <v>8</v>
      </c>
      <c r="O38" t="s">
        <v>25</v>
      </c>
      <c r="P38" t="s">
        <v>12</v>
      </c>
      <c r="Q38" s="5">
        <f>tbl_financials[[#This Row],[Net_Sales]]</f>
        <v>352625</v>
      </c>
      <c r="R38" s="5">
        <f>ROUND(tbl_financials[[#This Row],[Revenue]]*(0.12+MOD(ROW(),7)/100),2)</f>
        <v>52893.75</v>
      </c>
      <c r="S38" s="7">
        <f t="shared" si="0"/>
        <v>2178</v>
      </c>
      <c r="T38" s="5">
        <f>tbl_financials[[#This Row],[Gross_Profit]]-tbl_financials[[#This Row],[Operating_Expenses]]+tbl_financials[[#This Row],[Other_Income]]</f>
        <v>-36610.75</v>
      </c>
      <c r="U38" s="11">
        <f>IF(tbl_financials[[#This Row],[Revenue]]=0,0,tbl_financials[[#This Row],[Net_Profit]]/tbl_financials[[#This Row],[Revenue]])</f>
        <v>-0.10382346685572492</v>
      </c>
      <c r="V38" s="11" t="str">
        <f>tbl_financials[[#This Row],[Month_Name]] &amp; "_" &amp; tbl_financials[[#This Row],[Year]]</f>
        <v>August_2014</v>
      </c>
      <c r="W38" s="11" t="str">
        <f>tbl_financials[[#This Row],[Month_Name]] &amp; "_" &amp; (tbl_financials[[#This Row],[Year]]-1)</f>
        <v>August_2013</v>
      </c>
      <c r="X3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9" spans="1:24" x14ac:dyDescent="0.3">
      <c r="A39" t="s">
        <v>6</v>
      </c>
      <c r="B39" t="s">
        <v>13</v>
      </c>
      <c r="C39" t="s">
        <v>35</v>
      </c>
      <c r="D39" t="s">
        <v>38</v>
      </c>
      <c r="E39" s="9">
        <v>345</v>
      </c>
      <c r="F39" s="7">
        <v>120</v>
      </c>
      <c r="G39" s="7">
        <v>125</v>
      </c>
      <c r="H39" s="7">
        <v>43125</v>
      </c>
      <c r="I39" s="5">
        <v>0</v>
      </c>
      <c r="J39" s="5">
        <v>43125</v>
      </c>
      <c r="K39" s="7">
        <v>41400</v>
      </c>
      <c r="L39" s="5">
        <v>1725</v>
      </c>
      <c r="M39" s="1">
        <v>41548</v>
      </c>
      <c r="N39">
        <v>10</v>
      </c>
      <c r="O39" t="s">
        <v>27</v>
      </c>
      <c r="P39" t="s">
        <v>11</v>
      </c>
      <c r="Q39" s="5">
        <f>tbl_financials[[#This Row],[Net_Sales]]</f>
        <v>43125</v>
      </c>
      <c r="R39" s="5">
        <f>ROUND(tbl_financials[[#This Row],[Revenue]]*(0.12+MOD(ROW(),7)/100),2)</f>
        <v>6900</v>
      </c>
      <c r="S39" s="7">
        <f t="shared" si="0"/>
        <v>2209</v>
      </c>
      <c r="T39" s="5">
        <f>tbl_financials[[#This Row],[Gross_Profit]]-tbl_financials[[#This Row],[Operating_Expenses]]+tbl_financials[[#This Row],[Other_Income]]</f>
        <v>-2966</v>
      </c>
      <c r="U39" s="11">
        <f>IF(tbl_financials[[#This Row],[Revenue]]=0,0,tbl_financials[[#This Row],[Net_Profit]]/tbl_financials[[#This Row],[Revenue]])</f>
        <v>-6.8776811594202902E-2</v>
      </c>
      <c r="V39" s="11" t="str">
        <f>tbl_financials[[#This Row],[Month_Name]] &amp; "_" &amp; tbl_financials[[#This Row],[Year]]</f>
        <v>October_2013</v>
      </c>
      <c r="W39" s="11" t="str">
        <f>tbl_financials[[#This Row],[Month_Name]] &amp; "_" &amp; (tbl_financials[[#This Row],[Year]]-1)</f>
        <v>October_2012</v>
      </c>
      <c r="X3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0" spans="1:24" x14ac:dyDescent="0.3">
      <c r="A40" t="s">
        <v>4</v>
      </c>
      <c r="B40" t="s">
        <v>13</v>
      </c>
      <c r="C40" t="s">
        <v>36</v>
      </c>
      <c r="D40" t="s">
        <v>38</v>
      </c>
      <c r="E40" s="9">
        <v>2001</v>
      </c>
      <c r="F40" s="7">
        <v>250</v>
      </c>
      <c r="G40" s="7">
        <v>300</v>
      </c>
      <c r="H40" s="7">
        <v>600300</v>
      </c>
      <c r="I40" s="5">
        <v>0</v>
      </c>
      <c r="J40" s="5">
        <v>600300</v>
      </c>
      <c r="K40" s="7">
        <v>500250</v>
      </c>
      <c r="L40" s="5">
        <v>100050</v>
      </c>
      <c r="M40" s="1">
        <v>41671</v>
      </c>
      <c r="N40">
        <v>2</v>
      </c>
      <c r="O40" t="s">
        <v>19</v>
      </c>
      <c r="P40" t="s">
        <v>12</v>
      </c>
      <c r="Q40" s="5">
        <f>tbl_financials[[#This Row],[Net_Sales]]</f>
        <v>600300</v>
      </c>
      <c r="R40" s="5">
        <f>ROUND(tbl_financials[[#This Row],[Revenue]]*(0.12+MOD(ROW(),7)/100),2)</f>
        <v>102051</v>
      </c>
      <c r="S40" s="7">
        <f t="shared" si="0"/>
        <v>2240</v>
      </c>
      <c r="T40" s="5">
        <f>tbl_financials[[#This Row],[Gross_Profit]]-tbl_financials[[#This Row],[Operating_Expenses]]+tbl_financials[[#This Row],[Other_Income]]</f>
        <v>239</v>
      </c>
      <c r="U40" s="11">
        <f>IF(tbl_financials[[#This Row],[Revenue]]=0,0,tbl_financials[[#This Row],[Net_Profit]]/tbl_financials[[#This Row],[Revenue]])</f>
        <v>3.9813426620023321E-4</v>
      </c>
      <c r="V40" s="11" t="str">
        <f>tbl_financials[[#This Row],[Month_Name]] &amp; "_" &amp; tbl_financials[[#This Row],[Year]]</f>
        <v>February_2014</v>
      </c>
      <c r="W40" s="11" t="str">
        <f>tbl_financials[[#This Row],[Month_Name]] &amp; "_" &amp; (tbl_financials[[#This Row],[Year]]-1)</f>
        <v>February_2013</v>
      </c>
      <c r="X4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1" spans="1:24" x14ac:dyDescent="0.3">
      <c r="A41" t="s">
        <v>8</v>
      </c>
      <c r="B41" t="s">
        <v>16</v>
      </c>
      <c r="C41" t="s">
        <v>36</v>
      </c>
      <c r="D41" t="s">
        <v>38</v>
      </c>
      <c r="E41" s="9">
        <v>2838</v>
      </c>
      <c r="F41" s="7">
        <v>250</v>
      </c>
      <c r="G41" s="7">
        <v>12</v>
      </c>
      <c r="H41" s="7">
        <v>34056</v>
      </c>
      <c r="I41" s="5">
        <v>0</v>
      </c>
      <c r="J41" s="5">
        <v>34056</v>
      </c>
      <c r="K41" s="7">
        <v>8514</v>
      </c>
      <c r="L41" s="5">
        <v>25542</v>
      </c>
      <c r="M41" s="1">
        <v>41730</v>
      </c>
      <c r="N41">
        <v>4</v>
      </c>
      <c r="O41" t="s">
        <v>21</v>
      </c>
      <c r="P41" t="s">
        <v>12</v>
      </c>
      <c r="Q41" s="5">
        <f>tbl_financials[[#This Row],[Net_Sales]]</f>
        <v>34056</v>
      </c>
      <c r="R41" s="5">
        <f>ROUND(tbl_financials[[#This Row],[Revenue]]*(0.12+MOD(ROW(),7)/100),2)</f>
        <v>6130.08</v>
      </c>
      <c r="S41" s="7">
        <f t="shared" si="0"/>
        <v>2271</v>
      </c>
      <c r="T41" s="5">
        <f>tbl_financials[[#This Row],[Gross_Profit]]-tbl_financials[[#This Row],[Operating_Expenses]]+tbl_financials[[#This Row],[Other_Income]]</f>
        <v>21682.92</v>
      </c>
      <c r="U41" s="11">
        <f>IF(tbl_financials[[#This Row],[Revenue]]=0,0,tbl_financials[[#This Row],[Net_Profit]]/tbl_financials[[#This Row],[Revenue]])</f>
        <v>0.63668428470754046</v>
      </c>
      <c r="V41" s="11" t="str">
        <f>tbl_financials[[#This Row],[Month_Name]] &amp; "_" &amp; tbl_financials[[#This Row],[Year]]</f>
        <v>April_2014</v>
      </c>
      <c r="W41" s="11" t="str">
        <f>tbl_financials[[#This Row],[Month_Name]] &amp; "_" &amp; (tbl_financials[[#This Row],[Year]]-1)</f>
        <v>April_2013</v>
      </c>
      <c r="X4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2" spans="1:24" x14ac:dyDescent="0.3">
      <c r="A42" t="s">
        <v>5</v>
      </c>
      <c r="B42" t="s">
        <v>15</v>
      </c>
      <c r="C42" t="s">
        <v>36</v>
      </c>
      <c r="D42" t="s">
        <v>38</v>
      </c>
      <c r="E42" s="9">
        <v>2178</v>
      </c>
      <c r="F42" s="7">
        <v>250</v>
      </c>
      <c r="G42" s="7">
        <v>15</v>
      </c>
      <c r="H42" s="7">
        <v>32670</v>
      </c>
      <c r="I42" s="5">
        <v>0</v>
      </c>
      <c r="J42" s="5">
        <v>32670</v>
      </c>
      <c r="K42" s="7">
        <v>21780</v>
      </c>
      <c r="L42" s="5">
        <v>10890</v>
      </c>
      <c r="M42" s="1">
        <v>41791</v>
      </c>
      <c r="N42">
        <v>6</v>
      </c>
      <c r="O42" t="s">
        <v>23</v>
      </c>
      <c r="P42" t="s">
        <v>12</v>
      </c>
      <c r="Q42" s="5">
        <f>tbl_financials[[#This Row],[Net_Sales]]</f>
        <v>32670</v>
      </c>
      <c r="R42" s="5">
        <f>ROUND(tbl_financials[[#This Row],[Revenue]]*(0.12+MOD(ROW(),7)/100),2)</f>
        <v>3920.4</v>
      </c>
      <c r="S42" s="7">
        <f t="shared" si="0"/>
        <v>2302</v>
      </c>
      <c r="T42" s="5">
        <f>tbl_financials[[#This Row],[Gross_Profit]]-tbl_financials[[#This Row],[Operating_Expenses]]+tbl_financials[[#This Row],[Other_Income]]</f>
        <v>9271.6</v>
      </c>
      <c r="U42" s="11">
        <f>IF(tbl_financials[[#This Row],[Revenue]]=0,0,tbl_financials[[#This Row],[Net_Profit]]/tbl_financials[[#This Row],[Revenue]])</f>
        <v>0.28379553106825833</v>
      </c>
      <c r="V42" s="11" t="str">
        <f>tbl_financials[[#This Row],[Month_Name]] &amp; "_" &amp; tbl_financials[[#This Row],[Year]]</f>
        <v>June_2014</v>
      </c>
      <c r="W42" s="11" t="str">
        <f>tbl_financials[[#This Row],[Month_Name]] &amp; "_" &amp; (tbl_financials[[#This Row],[Year]]-1)</f>
        <v>June_2013</v>
      </c>
      <c r="X4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3" spans="1:24" x14ac:dyDescent="0.3">
      <c r="A43" t="s">
        <v>5</v>
      </c>
      <c r="B43" t="s">
        <v>16</v>
      </c>
      <c r="C43" t="s">
        <v>36</v>
      </c>
      <c r="D43" t="s">
        <v>38</v>
      </c>
      <c r="E43" s="9">
        <v>888</v>
      </c>
      <c r="F43" s="7">
        <v>250</v>
      </c>
      <c r="G43" s="7">
        <v>15</v>
      </c>
      <c r="H43" s="7">
        <v>13320</v>
      </c>
      <c r="I43" s="5">
        <v>0</v>
      </c>
      <c r="J43" s="5">
        <v>13320</v>
      </c>
      <c r="K43" s="7">
        <v>8880</v>
      </c>
      <c r="L43" s="5">
        <v>4440</v>
      </c>
      <c r="M43" s="1">
        <v>41791</v>
      </c>
      <c r="N43">
        <v>6</v>
      </c>
      <c r="O43" t="s">
        <v>23</v>
      </c>
      <c r="P43" t="s">
        <v>12</v>
      </c>
      <c r="Q43" s="5">
        <f>tbl_financials[[#This Row],[Net_Sales]]</f>
        <v>13320</v>
      </c>
      <c r="R43" s="5">
        <f>ROUND(tbl_financials[[#This Row],[Revenue]]*(0.12+MOD(ROW(),7)/100),2)</f>
        <v>1731.6</v>
      </c>
      <c r="S43" s="7">
        <f t="shared" si="0"/>
        <v>2333</v>
      </c>
      <c r="T43" s="5">
        <f>tbl_financials[[#This Row],[Gross_Profit]]-tbl_financials[[#This Row],[Operating_Expenses]]+tbl_financials[[#This Row],[Other_Income]]</f>
        <v>5041.3999999999996</v>
      </c>
      <c r="U43" s="11">
        <f>IF(tbl_financials[[#This Row],[Revenue]]=0,0,tbl_financials[[#This Row],[Net_Profit]]/tbl_financials[[#This Row],[Revenue]])</f>
        <v>0.37848348348348343</v>
      </c>
      <c r="V43" s="11" t="str">
        <f>tbl_financials[[#This Row],[Month_Name]] &amp; "_" &amp; tbl_financials[[#This Row],[Year]]</f>
        <v>June_2014</v>
      </c>
      <c r="W43" s="11" t="str">
        <f>tbl_financials[[#This Row],[Month_Name]] &amp; "_" &amp; (tbl_financials[[#This Row],[Year]]-1)</f>
        <v>June_2013</v>
      </c>
      <c r="X4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4" spans="1:24" x14ac:dyDescent="0.3">
      <c r="A44" t="s">
        <v>7</v>
      </c>
      <c r="B44" t="s">
        <v>15</v>
      </c>
      <c r="C44" t="s">
        <v>36</v>
      </c>
      <c r="D44" t="s">
        <v>38</v>
      </c>
      <c r="E44" s="9">
        <v>1527</v>
      </c>
      <c r="F44" s="7">
        <v>250</v>
      </c>
      <c r="G44" s="7">
        <v>350</v>
      </c>
      <c r="H44" s="7">
        <v>534450</v>
      </c>
      <c r="I44" s="5">
        <v>0</v>
      </c>
      <c r="J44" s="5">
        <v>534450</v>
      </c>
      <c r="K44" s="7">
        <v>397020</v>
      </c>
      <c r="L44" s="5">
        <v>137430</v>
      </c>
      <c r="M44" s="1">
        <v>41518</v>
      </c>
      <c r="N44">
        <v>9</v>
      </c>
      <c r="O44" t="s">
        <v>26</v>
      </c>
      <c r="P44" t="s">
        <v>11</v>
      </c>
      <c r="Q44" s="5">
        <f>tbl_financials[[#This Row],[Net_Sales]]</f>
        <v>534450</v>
      </c>
      <c r="R44" s="5">
        <f>ROUND(tbl_financials[[#This Row],[Revenue]]*(0.12+MOD(ROW(),7)/100),2)</f>
        <v>74823</v>
      </c>
      <c r="S44" s="7">
        <f t="shared" si="0"/>
        <v>2364</v>
      </c>
      <c r="T44" s="5">
        <f>tbl_financials[[#This Row],[Gross_Profit]]-tbl_financials[[#This Row],[Operating_Expenses]]+tbl_financials[[#This Row],[Other_Income]]</f>
        <v>64971</v>
      </c>
      <c r="U44" s="11">
        <f>IF(tbl_financials[[#This Row],[Revenue]]=0,0,tbl_financials[[#This Row],[Net_Profit]]/tbl_financials[[#This Row],[Revenue]])</f>
        <v>0.12156609598652821</v>
      </c>
      <c r="V44" s="11" t="str">
        <f>tbl_financials[[#This Row],[Month_Name]] &amp; "_" &amp; tbl_financials[[#This Row],[Year]]</f>
        <v>September_2013</v>
      </c>
      <c r="W44" s="11" t="str">
        <f>tbl_financials[[#This Row],[Month_Name]] &amp; "_" &amp; (tbl_financials[[#This Row],[Year]]-1)</f>
        <v>September_2012</v>
      </c>
      <c r="X4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5" spans="1:24" x14ac:dyDescent="0.3">
      <c r="A45" t="s">
        <v>4</v>
      </c>
      <c r="B45" t="s">
        <v>15</v>
      </c>
      <c r="C45" t="s">
        <v>36</v>
      </c>
      <c r="D45" t="s">
        <v>38</v>
      </c>
      <c r="E45" s="9">
        <v>2151</v>
      </c>
      <c r="F45" s="7">
        <v>250</v>
      </c>
      <c r="G45" s="7">
        <v>300</v>
      </c>
      <c r="H45" s="7">
        <v>645300</v>
      </c>
      <c r="I45" s="5">
        <v>0</v>
      </c>
      <c r="J45" s="5">
        <v>645300</v>
      </c>
      <c r="K45" s="7">
        <v>537750</v>
      </c>
      <c r="L45" s="5">
        <v>107550</v>
      </c>
      <c r="M45" s="1">
        <v>41883</v>
      </c>
      <c r="N45">
        <v>9</v>
      </c>
      <c r="O45" t="s">
        <v>26</v>
      </c>
      <c r="P45" t="s">
        <v>12</v>
      </c>
      <c r="Q45" s="5">
        <f>tbl_financials[[#This Row],[Net_Sales]]</f>
        <v>645300</v>
      </c>
      <c r="R45" s="5">
        <f>ROUND(tbl_financials[[#This Row],[Revenue]]*(0.12+MOD(ROW(),7)/100),2)</f>
        <v>96795</v>
      </c>
      <c r="S45" s="7">
        <f t="shared" si="0"/>
        <v>2395</v>
      </c>
      <c r="T45" s="5">
        <f>tbl_financials[[#This Row],[Gross_Profit]]-tbl_financials[[#This Row],[Operating_Expenses]]+tbl_financials[[#This Row],[Other_Income]]</f>
        <v>13150</v>
      </c>
      <c r="U45" s="11">
        <f>IF(tbl_financials[[#This Row],[Revenue]]=0,0,tbl_financials[[#This Row],[Net_Profit]]/tbl_financials[[#This Row],[Revenue]])</f>
        <v>2.0378118704478539E-2</v>
      </c>
      <c r="V45" s="11" t="str">
        <f>tbl_financials[[#This Row],[Month_Name]] &amp; "_" &amp; tbl_financials[[#This Row],[Year]]</f>
        <v>September_2014</v>
      </c>
      <c r="W45" s="11" t="str">
        <f>tbl_financials[[#This Row],[Month_Name]] &amp; "_" &amp; (tbl_financials[[#This Row],[Year]]-1)</f>
        <v>September_2013</v>
      </c>
      <c r="X4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77.360655737704917</v>
      </c>
    </row>
    <row r="46" spans="1:24" x14ac:dyDescent="0.3">
      <c r="A46" t="s">
        <v>7</v>
      </c>
      <c r="B46" t="s">
        <v>13</v>
      </c>
      <c r="C46" t="s">
        <v>36</v>
      </c>
      <c r="D46" t="s">
        <v>38</v>
      </c>
      <c r="E46" s="9">
        <v>1817</v>
      </c>
      <c r="F46" s="7">
        <v>250</v>
      </c>
      <c r="G46" s="7">
        <v>20</v>
      </c>
      <c r="H46" s="7">
        <v>36340</v>
      </c>
      <c r="I46" s="5">
        <v>0</v>
      </c>
      <c r="J46" s="5">
        <v>36340</v>
      </c>
      <c r="K46" s="7">
        <v>18170</v>
      </c>
      <c r="L46" s="5">
        <v>18170</v>
      </c>
      <c r="M46" s="1">
        <v>41974</v>
      </c>
      <c r="N46">
        <v>12</v>
      </c>
      <c r="O46" t="s">
        <v>29</v>
      </c>
      <c r="P46" t="s">
        <v>12</v>
      </c>
      <c r="Q46" s="5">
        <f>tbl_financials[[#This Row],[Net_Sales]]</f>
        <v>36340</v>
      </c>
      <c r="R46" s="5">
        <f>ROUND(tbl_financials[[#This Row],[Revenue]]*(0.12+MOD(ROW(),7)/100),2)</f>
        <v>5814.4</v>
      </c>
      <c r="S46" s="7">
        <f t="shared" si="0"/>
        <v>2426</v>
      </c>
      <c r="T46" s="5">
        <f>tbl_financials[[#This Row],[Gross_Profit]]-tbl_financials[[#This Row],[Operating_Expenses]]+tbl_financials[[#This Row],[Other_Income]]</f>
        <v>14781.6</v>
      </c>
      <c r="U46" s="11">
        <f>IF(tbl_financials[[#This Row],[Revenue]]=0,0,tbl_financials[[#This Row],[Net_Profit]]/tbl_financials[[#This Row],[Revenue]])</f>
        <v>0.40675839295542104</v>
      </c>
      <c r="V46" s="11" t="str">
        <f>tbl_financials[[#This Row],[Month_Name]] &amp; "_" &amp; tbl_financials[[#This Row],[Year]]</f>
        <v>December_2014</v>
      </c>
      <c r="W46" s="11" t="str">
        <f>tbl_financials[[#This Row],[Month_Name]] &amp; "_" &amp; (tbl_financials[[#This Row],[Year]]-1)</f>
        <v>December_2013</v>
      </c>
      <c r="X4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0.12577447335811648</v>
      </c>
    </row>
    <row r="47" spans="1:24" x14ac:dyDescent="0.3">
      <c r="A47" t="s">
        <v>7</v>
      </c>
      <c r="B47" t="s">
        <v>15</v>
      </c>
      <c r="C47" t="s">
        <v>37</v>
      </c>
      <c r="D47" t="s">
        <v>38</v>
      </c>
      <c r="E47" s="9">
        <v>2750</v>
      </c>
      <c r="F47" s="7">
        <v>260</v>
      </c>
      <c r="G47" s="7">
        <v>350</v>
      </c>
      <c r="H47" s="7">
        <v>962500</v>
      </c>
      <c r="I47" s="5">
        <v>0</v>
      </c>
      <c r="J47" s="5">
        <v>962500</v>
      </c>
      <c r="K47" s="7">
        <v>715000</v>
      </c>
      <c r="L47" s="5">
        <v>247500</v>
      </c>
      <c r="M47" s="1">
        <v>41671</v>
      </c>
      <c r="N47">
        <v>2</v>
      </c>
      <c r="O47" t="s">
        <v>19</v>
      </c>
      <c r="P47" t="s">
        <v>12</v>
      </c>
      <c r="Q47" s="5">
        <f>tbl_financials[[#This Row],[Net_Sales]]</f>
        <v>962500</v>
      </c>
      <c r="R47" s="5">
        <f>ROUND(tbl_financials[[#This Row],[Revenue]]*(0.12+MOD(ROW(),7)/100),2)</f>
        <v>163625</v>
      </c>
      <c r="S47" s="7">
        <f t="shared" si="0"/>
        <v>2457</v>
      </c>
      <c r="T47" s="5">
        <f>tbl_financials[[#This Row],[Gross_Profit]]-tbl_financials[[#This Row],[Operating_Expenses]]+tbl_financials[[#This Row],[Other_Income]]</f>
        <v>86332</v>
      </c>
      <c r="U47" s="11">
        <f>IF(tbl_financials[[#This Row],[Revenue]]=0,0,tbl_financials[[#This Row],[Net_Profit]]/tbl_financials[[#This Row],[Revenue]])</f>
        <v>8.9695584415584409E-2</v>
      </c>
      <c r="V47" s="11" t="str">
        <f>tbl_financials[[#This Row],[Month_Name]] &amp; "_" &amp; tbl_financials[[#This Row],[Year]]</f>
        <v>February_2014</v>
      </c>
      <c r="W47" s="11" t="str">
        <f>tbl_financials[[#This Row],[Month_Name]] &amp; "_" &amp; (tbl_financials[[#This Row],[Year]]-1)</f>
        <v>February_2013</v>
      </c>
      <c r="X4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8" spans="1:24" x14ac:dyDescent="0.3">
      <c r="A48" t="s">
        <v>8</v>
      </c>
      <c r="B48" t="s">
        <v>14</v>
      </c>
      <c r="C48" t="s">
        <v>37</v>
      </c>
      <c r="D48" t="s">
        <v>38</v>
      </c>
      <c r="E48" s="9">
        <v>1953</v>
      </c>
      <c r="F48" s="7">
        <v>260</v>
      </c>
      <c r="G48" s="7">
        <v>12</v>
      </c>
      <c r="H48" s="7">
        <v>23436</v>
      </c>
      <c r="I48" s="5">
        <v>0</v>
      </c>
      <c r="J48" s="5">
        <v>23436</v>
      </c>
      <c r="K48" s="7">
        <v>5859</v>
      </c>
      <c r="L48" s="5">
        <v>17577</v>
      </c>
      <c r="M48" s="1">
        <v>41730</v>
      </c>
      <c r="N48">
        <v>4</v>
      </c>
      <c r="O48" t="s">
        <v>21</v>
      </c>
      <c r="P48" t="s">
        <v>12</v>
      </c>
      <c r="Q48" s="5">
        <f>tbl_financials[[#This Row],[Net_Sales]]</f>
        <v>23436</v>
      </c>
      <c r="R48" s="5">
        <f>ROUND(tbl_financials[[#This Row],[Revenue]]*(0.12+MOD(ROW(),7)/100),2)</f>
        <v>4218.4799999999996</v>
      </c>
      <c r="S48" s="7">
        <f t="shared" si="0"/>
        <v>2488</v>
      </c>
      <c r="T48" s="5">
        <f>tbl_financials[[#This Row],[Gross_Profit]]-tbl_financials[[#This Row],[Operating_Expenses]]+tbl_financials[[#This Row],[Other_Income]]</f>
        <v>15846.52</v>
      </c>
      <c r="U48" s="11">
        <f>IF(tbl_financials[[#This Row],[Revenue]]=0,0,tbl_financials[[#This Row],[Net_Profit]]/tbl_financials[[#This Row],[Revenue]])</f>
        <v>0.67616146100017072</v>
      </c>
      <c r="V48" s="11" t="str">
        <f>tbl_financials[[#This Row],[Month_Name]] &amp; "_" &amp; tbl_financials[[#This Row],[Year]]</f>
        <v>April_2014</v>
      </c>
      <c r="W48" s="11" t="str">
        <f>tbl_financials[[#This Row],[Month_Name]] &amp; "_" &amp; (tbl_financials[[#This Row],[Year]]-1)</f>
        <v>April_2013</v>
      </c>
      <c r="X4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9" spans="1:24" x14ac:dyDescent="0.3">
      <c r="A49" t="s">
        <v>6</v>
      </c>
      <c r="B49" t="s">
        <v>16</v>
      </c>
      <c r="C49" t="s">
        <v>37</v>
      </c>
      <c r="D49" t="s">
        <v>38</v>
      </c>
      <c r="E49" s="9">
        <v>4219.5</v>
      </c>
      <c r="F49" s="7">
        <v>260</v>
      </c>
      <c r="G49" s="7">
        <v>125</v>
      </c>
      <c r="H49" s="7">
        <v>527437.5</v>
      </c>
      <c r="I49" s="5">
        <v>0</v>
      </c>
      <c r="J49" s="5">
        <v>527437.5</v>
      </c>
      <c r="K49" s="7">
        <v>506340</v>
      </c>
      <c r="L49" s="5">
        <v>21097.5</v>
      </c>
      <c r="M49" s="1">
        <v>41730</v>
      </c>
      <c r="N49">
        <v>4</v>
      </c>
      <c r="O49" t="s">
        <v>21</v>
      </c>
      <c r="P49" t="s">
        <v>12</v>
      </c>
      <c r="Q49" s="5">
        <f>tbl_financials[[#This Row],[Net_Sales]]</f>
        <v>527437.5</v>
      </c>
      <c r="R49" s="5">
        <f>ROUND(tbl_financials[[#This Row],[Revenue]]*(0.12+MOD(ROW(),7)/100),2)</f>
        <v>63292.5</v>
      </c>
      <c r="S49" s="7">
        <f t="shared" si="0"/>
        <v>2519</v>
      </c>
      <c r="T49" s="5">
        <f>tbl_financials[[#This Row],[Gross_Profit]]-tbl_financials[[#This Row],[Operating_Expenses]]+tbl_financials[[#This Row],[Other_Income]]</f>
        <v>-39676</v>
      </c>
      <c r="U49" s="11">
        <f>IF(tbl_financials[[#This Row],[Revenue]]=0,0,tbl_financials[[#This Row],[Net_Profit]]/tbl_financials[[#This Row],[Revenue]])</f>
        <v>-7.5224078682308335E-2</v>
      </c>
      <c r="V49" s="11" t="str">
        <f>tbl_financials[[#This Row],[Month_Name]] &amp; "_" &amp; tbl_financials[[#This Row],[Year]]</f>
        <v>April_2014</v>
      </c>
      <c r="W49" s="11" t="str">
        <f>tbl_financials[[#This Row],[Month_Name]] &amp; "_" &amp; (tbl_financials[[#This Row],[Year]]-1)</f>
        <v>April_2013</v>
      </c>
      <c r="X4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0" spans="1:24" x14ac:dyDescent="0.3">
      <c r="A50" t="s">
        <v>7</v>
      </c>
      <c r="B50" t="s">
        <v>15</v>
      </c>
      <c r="C50" t="s">
        <v>37</v>
      </c>
      <c r="D50" t="s">
        <v>38</v>
      </c>
      <c r="E50" s="9">
        <v>1899</v>
      </c>
      <c r="F50" s="7">
        <v>260</v>
      </c>
      <c r="G50" s="7">
        <v>20</v>
      </c>
      <c r="H50" s="7">
        <v>37980</v>
      </c>
      <c r="I50" s="5">
        <v>0</v>
      </c>
      <c r="J50" s="5">
        <v>37980</v>
      </c>
      <c r="K50" s="7">
        <v>18990</v>
      </c>
      <c r="L50" s="5">
        <v>18990</v>
      </c>
      <c r="M50" s="1">
        <v>41791</v>
      </c>
      <c r="N50">
        <v>6</v>
      </c>
      <c r="O50" t="s">
        <v>23</v>
      </c>
      <c r="P50" t="s">
        <v>12</v>
      </c>
      <c r="Q50" s="5">
        <f>tbl_financials[[#This Row],[Net_Sales]]</f>
        <v>37980</v>
      </c>
      <c r="R50" s="5">
        <f>ROUND(tbl_financials[[#This Row],[Revenue]]*(0.12+MOD(ROW(),7)/100),2)</f>
        <v>4937.3999999999996</v>
      </c>
      <c r="S50" s="7">
        <f t="shared" si="0"/>
        <v>2550</v>
      </c>
      <c r="T50" s="5">
        <f>tbl_financials[[#This Row],[Gross_Profit]]-tbl_financials[[#This Row],[Operating_Expenses]]+tbl_financials[[#This Row],[Other_Income]]</f>
        <v>16602.599999999999</v>
      </c>
      <c r="U50" s="11">
        <f>IF(tbl_financials[[#This Row],[Revenue]]=0,0,tbl_financials[[#This Row],[Net_Profit]]/tbl_financials[[#This Row],[Revenue]])</f>
        <v>0.43714060031595575</v>
      </c>
      <c r="V50" s="11" t="str">
        <f>tbl_financials[[#This Row],[Month_Name]] &amp; "_" &amp; tbl_financials[[#This Row],[Year]]</f>
        <v>June_2014</v>
      </c>
      <c r="W50" s="11" t="str">
        <f>tbl_financials[[#This Row],[Month_Name]] &amp; "_" &amp; (tbl_financials[[#This Row],[Year]]-1)</f>
        <v>June_2013</v>
      </c>
      <c r="X5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1" spans="1:24" x14ac:dyDescent="0.3">
      <c r="A51" t="s">
        <v>7</v>
      </c>
      <c r="B51" t="s">
        <v>16</v>
      </c>
      <c r="C51" t="s">
        <v>37</v>
      </c>
      <c r="D51" t="s">
        <v>38</v>
      </c>
      <c r="E51" s="9">
        <v>1686</v>
      </c>
      <c r="F51" s="7">
        <v>260</v>
      </c>
      <c r="G51" s="7">
        <v>7</v>
      </c>
      <c r="H51" s="7">
        <v>11802</v>
      </c>
      <c r="I51" s="5">
        <v>0</v>
      </c>
      <c r="J51" s="5">
        <v>11802</v>
      </c>
      <c r="K51" s="7">
        <v>8430</v>
      </c>
      <c r="L51" s="5">
        <v>3372</v>
      </c>
      <c r="M51" s="1">
        <v>41821</v>
      </c>
      <c r="N51">
        <v>7</v>
      </c>
      <c r="O51" t="s">
        <v>24</v>
      </c>
      <c r="P51" t="s">
        <v>12</v>
      </c>
      <c r="Q51" s="5">
        <f>tbl_financials[[#This Row],[Net_Sales]]</f>
        <v>11802</v>
      </c>
      <c r="R51" s="5">
        <f>ROUND(tbl_financials[[#This Row],[Revenue]]*(0.12+MOD(ROW(),7)/100),2)</f>
        <v>1652.28</v>
      </c>
      <c r="S51" s="7">
        <f t="shared" si="0"/>
        <v>2581</v>
      </c>
      <c r="T51" s="5">
        <f>tbl_financials[[#This Row],[Gross_Profit]]-tbl_financials[[#This Row],[Operating_Expenses]]+tbl_financials[[#This Row],[Other_Income]]</f>
        <v>4300.72</v>
      </c>
      <c r="U51" s="11">
        <f>IF(tbl_financials[[#This Row],[Revenue]]=0,0,tbl_financials[[#This Row],[Net_Profit]]/tbl_financials[[#This Row],[Revenue]])</f>
        <v>0.36440603287578377</v>
      </c>
      <c r="V51" s="11" t="str">
        <f>tbl_financials[[#This Row],[Month_Name]] &amp; "_" &amp; tbl_financials[[#This Row],[Year]]</f>
        <v>July_2014</v>
      </c>
      <c r="W51" s="11" t="str">
        <f>tbl_financials[[#This Row],[Month_Name]] &amp; "_" &amp; (tbl_financials[[#This Row],[Year]]-1)</f>
        <v>July_2013</v>
      </c>
      <c r="X5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2" spans="1:24" x14ac:dyDescent="0.3">
      <c r="A52" t="s">
        <v>8</v>
      </c>
      <c r="B52" t="s">
        <v>14</v>
      </c>
      <c r="C52" t="s">
        <v>37</v>
      </c>
      <c r="D52" t="s">
        <v>38</v>
      </c>
      <c r="E52" s="9">
        <v>2141</v>
      </c>
      <c r="F52" s="7">
        <v>260</v>
      </c>
      <c r="G52" s="7">
        <v>12</v>
      </c>
      <c r="H52" s="7">
        <v>25692</v>
      </c>
      <c r="I52" s="5">
        <v>0</v>
      </c>
      <c r="J52" s="5">
        <v>25692</v>
      </c>
      <c r="K52" s="7">
        <v>6423</v>
      </c>
      <c r="L52" s="5">
        <v>19269</v>
      </c>
      <c r="M52" s="1">
        <v>41852</v>
      </c>
      <c r="N52">
        <v>8</v>
      </c>
      <c r="O52" t="s">
        <v>25</v>
      </c>
      <c r="P52" t="s">
        <v>12</v>
      </c>
      <c r="Q52" s="5">
        <f>tbl_financials[[#This Row],[Net_Sales]]</f>
        <v>25692</v>
      </c>
      <c r="R52" s="5">
        <f>ROUND(tbl_financials[[#This Row],[Revenue]]*(0.12+MOD(ROW(),7)/100),2)</f>
        <v>3853.8</v>
      </c>
      <c r="S52" s="7">
        <f t="shared" si="0"/>
        <v>2612</v>
      </c>
      <c r="T52" s="5">
        <f>tbl_financials[[#This Row],[Gross_Profit]]-tbl_financials[[#This Row],[Operating_Expenses]]+tbl_financials[[#This Row],[Other_Income]]</f>
        <v>18027.2</v>
      </c>
      <c r="U52" s="11">
        <f>IF(tbl_financials[[#This Row],[Revenue]]=0,0,tbl_financials[[#This Row],[Net_Profit]]/tbl_financials[[#This Row],[Revenue]])</f>
        <v>0.70166588821423015</v>
      </c>
      <c r="V52" s="11" t="str">
        <f>tbl_financials[[#This Row],[Month_Name]] &amp; "_" &amp; tbl_financials[[#This Row],[Year]]</f>
        <v>August_2014</v>
      </c>
      <c r="W52" s="11" t="str">
        <f>tbl_financials[[#This Row],[Month_Name]] &amp; "_" &amp; (tbl_financials[[#This Row],[Year]]-1)</f>
        <v>August_2013</v>
      </c>
      <c r="X5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3" spans="1:24" x14ac:dyDescent="0.3">
      <c r="A53" t="s">
        <v>7</v>
      </c>
      <c r="B53" t="s">
        <v>14</v>
      </c>
      <c r="C53" t="s">
        <v>37</v>
      </c>
      <c r="D53" t="s">
        <v>38</v>
      </c>
      <c r="E53" s="9">
        <v>1143</v>
      </c>
      <c r="F53" s="7">
        <v>260</v>
      </c>
      <c r="G53" s="7">
        <v>7</v>
      </c>
      <c r="H53" s="7">
        <v>8001</v>
      </c>
      <c r="I53" s="5">
        <v>0</v>
      </c>
      <c r="J53" s="5">
        <v>8001</v>
      </c>
      <c r="K53" s="7">
        <v>5715</v>
      </c>
      <c r="L53" s="5">
        <v>2286</v>
      </c>
      <c r="M53" s="1">
        <v>41913</v>
      </c>
      <c r="N53">
        <v>10</v>
      </c>
      <c r="O53" t="s">
        <v>27</v>
      </c>
      <c r="P53" t="s">
        <v>12</v>
      </c>
      <c r="Q53" s="5">
        <f>tbl_financials[[#This Row],[Net_Sales]]</f>
        <v>8001</v>
      </c>
      <c r="R53" s="5">
        <f>ROUND(tbl_financials[[#This Row],[Revenue]]*(0.12+MOD(ROW(),7)/100),2)</f>
        <v>1280.1600000000001</v>
      </c>
      <c r="S53" s="7">
        <f t="shared" si="0"/>
        <v>2643</v>
      </c>
      <c r="T53" s="5">
        <f>tbl_financials[[#This Row],[Gross_Profit]]-tbl_financials[[#This Row],[Operating_Expenses]]+tbl_financials[[#This Row],[Other_Income]]</f>
        <v>3648.84</v>
      </c>
      <c r="U53" s="11">
        <f>IF(tbl_financials[[#This Row],[Revenue]]=0,0,tbl_financials[[#This Row],[Net_Profit]]/tbl_financials[[#This Row],[Revenue]])</f>
        <v>0.45604799400074991</v>
      </c>
      <c r="V53" s="11" t="str">
        <f>tbl_financials[[#This Row],[Month_Name]] &amp; "_" &amp; tbl_financials[[#This Row],[Year]]</f>
        <v>October_2014</v>
      </c>
      <c r="W53" s="11" t="str">
        <f>tbl_financials[[#This Row],[Month_Name]] &amp; "_" &amp; (tbl_financials[[#This Row],[Year]]-1)</f>
        <v>October_2013</v>
      </c>
      <c r="X5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-0.81446956521739133</v>
      </c>
    </row>
    <row r="54" spans="1:24" x14ac:dyDescent="0.3">
      <c r="A54" t="s">
        <v>5</v>
      </c>
      <c r="B54" t="s">
        <v>14</v>
      </c>
      <c r="C54" t="s">
        <v>37</v>
      </c>
      <c r="D54" t="s">
        <v>38</v>
      </c>
      <c r="E54" s="9">
        <v>615</v>
      </c>
      <c r="F54" s="7">
        <v>260</v>
      </c>
      <c r="G54" s="7">
        <v>15</v>
      </c>
      <c r="H54" s="7">
        <v>9225</v>
      </c>
      <c r="I54" s="5">
        <v>0</v>
      </c>
      <c r="J54" s="5">
        <v>9225</v>
      </c>
      <c r="K54" s="7">
        <v>6150</v>
      </c>
      <c r="L54" s="5">
        <v>3075</v>
      </c>
      <c r="M54" s="1">
        <v>41974</v>
      </c>
      <c r="N54">
        <v>12</v>
      </c>
      <c r="O54" t="s">
        <v>29</v>
      </c>
      <c r="P54" t="s">
        <v>12</v>
      </c>
      <c r="Q54" s="5">
        <f>tbl_financials[[#This Row],[Net_Sales]]</f>
        <v>9225</v>
      </c>
      <c r="R54" s="5">
        <f>ROUND(tbl_financials[[#This Row],[Revenue]]*(0.12+MOD(ROW(),7)/100),2)</f>
        <v>1568.25</v>
      </c>
      <c r="S54" s="7">
        <f t="shared" si="0"/>
        <v>2674</v>
      </c>
      <c r="T54" s="5">
        <f>tbl_financials[[#This Row],[Gross_Profit]]-tbl_financials[[#This Row],[Operating_Expenses]]+tbl_financials[[#This Row],[Other_Income]]</f>
        <v>4180.75</v>
      </c>
      <c r="U54" s="11">
        <f>IF(tbl_financials[[#This Row],[Revenue]]=0,0,tbl_financials[[#This Row],[Net_Profit]]/tbl_financials[[#This Row],[Revenue]])</f>
        <v>0.45319783197831981</v>
      </c>
      <c r="V54" s="11" t="str">
        <f>tbl_financials[[#This Row],[Month_Name]] &amp; "_" &amp; tbl_financials[[#This Row],[Year]]</f>
        <v>December_2014</v>
      </c>
      <c r="W54" s="11" t="str">
        <f>tbl_financials[[#This Row],[Month_Name]] &amp; "_" &amp; (tbl_financials[[#This Row],[Year]]-1)</f>
        <v>December_2013</v>
      </c>
      <c r="X5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-0.71421933085501854</v>
      </c>
    </row>
    <row r="55" spans="1:24" x14ac:dyDescent="0.3">
      <c r="A55" t="s">
        <v>7</v>
      </c>
      <c r="B55" t="s">
        <v>15</v>
      </c>
      <c r="C55" t="s">
        <v>34</v>
      </c>
      <c r="D55" t="s">
        <v>39</v>
      </c>
      <c r="E55" s="9">
        <v>3945</v>
      </c>
      <c r="F55" s="7">
        <v>10</v>
      </c>
      <c r="G55" s="7">
        <v>7</v>
      </c>
      <c r="H55" s="7">
        <v>27615</v>
      </c>
      <c r="I55" s="5">
        <v>276.14999999999998</v>
      </c>
      <c r="J55" s="5">
        <v>27338.85</v>
      </c>
      <c r="K55" s="7">
        <v>19725</v>
      </c>
      <c r="L55" s="5">
        <v>7613.85</v>
      </c>
      <c r="M55" s="1">
        <v>41640</v>
      </c>
      <c r="N55">
        <v>1</v>
      </c>
      <c r="O55" t="s">
        <v>18</v>
      </c>
      <c r="P55" t="s">
        <v>12</v>
      </c>
      <c r="Q55" s="5">
        <f>tbl_financials[[#This Row],[Net_Sales]]</f>
        <v>27338.85</v>
      </c>
      <c r="R55" s="5">
        <f>ROUND(tbl_financials[[#This Row],[Revenue]]*(0.12+MOD(ROW(),7)/100),2)</f>
        <v>4920.99</v>
      </c>
      <c r="S55" s="7">
        <f t="shared" si="0"/>
        <v>2705</v>
      </c>
      <c r="T55" s="5">
        <f>tbl_financials[[#This Row],[Gross_Profit]]-tbl_financials[[#This Row],[Operating_Expenses]]+tbl_financials[[#This Row],[Other_Income]]</f>
        <v>5397.8600000000006</v>
      </c>
      <c r="U55" s="11">
        <f>IF(tbl_financials[[#This Row],[Revenue]]=0,0,tbl_financials[[#This Row],[Net_Profit]]/tbl_financials[[#This Row],[Revenue]])</f>
        <v>0.19744283318427808</v>
      </c>
      <c r="V55" s="11" t="str">
        <f>tbl_financials[[#This Row],[Month_Name]] &amp; "_" &amp; tbl_financials[[#This Row],[Year]]</f>
        <v>January_2014</v>
      </c>
      <c r="W55" s="11" t="str">
        <f>tbl_financials[[#This Row],[Month_Name]] &amp; "_" &amp; (tbl_financials[[#This Row],[Year]]-1)</f>
        <v>January_2013</v>
      </c>
      <c r="X5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6" spans="1:24" x14ac:dyDescent="0.3">
      <c r="A56" t="s">
        <v>5</v>
      </c>
      <c r="B56" t="s">
        <v>15</v>
      </c>
      <c r="C56" t="s">
        <v>34</v>
      </c>
      <c r="D56" t="s">
        <v>39</v>
      </c>
      <c r="E56" s="9">
        <v>2296</v>
      </c>
      <c r="F56" s="7">
        <v>10</v>
      </c>
      <c r="G56" s="7">
        <v>15</v>
      </c>
      <c r="H56" s="7">
        <v>34440</v>
      </c>
      <c r="I56" s="5">
        <v>344.4</v>
      </c>
      <c r="J56" s="5">
        <v>34095.599999999999</v>
      </c>
      <c r="K56" s="7">
        <v>22960</v>
      </c>
      <c r="L56" s="5">
        <v>11135.5999999999</v>
      </c>
      <c r="M56" s="1">
        <v>41671</v>
      </c>
      <c r="N56">
        <v>2</v>
      </c>
      <c r="O56" t="s">
        <v>19</v>
      </c>
      <c r="P56" t="s">
        <v>12</v>
      </c>
      <c r="Q56" s="5">
        <f>tbl_financials[[#This Row],[Net_Sales]]</f>
        <v>34095.599999999999</v>
      </c>
      <c r="R56" s="5">
        <f>ROUND(tbl_financials[[#This Row],[Revenue]]*(0.12+MOD(ROW(),7)/100),2)</f>
        <v>4091.47</v>
      </c>
      <c r="S56" s="7">
        <f t="shared" si="0"/>
        <v>2736</v>
      </c>
      <c r="T56" s="5">
        <f>tbl_financials[[#This Row],[Gross_Profit]]-tbl_financials[[#This Row],[Operating_Expenses]]+tbl_financials[[#This Row],[Other_Income]]</f>
        <v>9780.129999999901</v>
      </c>
      <c r="U56" s="11">
        <f>IF(tbl_financials[[#This Row],[Revenue]]=0,0,tbl_financials[[#This Row],[Net_Profit]]/tbl_financials[[#This Row],[Revenue]])</f>
        <v>0.28684434355165772</v>
      </c>
      <c r="V56" s="11" t="str">
        <f>tbl_financials[[#This Row],[Month_Name]] &amp; "_" &amp; tbl_financials[[#This Row],[Year]]</f>
        <v>February_2014</v>
      </c>
      <c r="W56" s="11" t="str">
        <f>tbl_financials[[#This Row],[Month_Name]] &amp; "_" &amp; (tbl_financials[[#This Row],[Year]]-1)</f>
        <v>February_2013</v>
      </c>
      <c r="X5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7" spans="1:24" x14ac:dyDescent="0.3">
      <c r="A57" t="s">
        <v>7</v>
      </c>
      <c r="B57" t="s">
        <v>15</v>
      </c>
      <c r="C57" t="s">
        <v>34</v>
      </c>
      <c r="D57" t="s">
        <v>39</v>
      </c>
      <c r="E57" s="9">
        <v>1030</v>
      </c>
      <c r="F57" s="7">
        <v>10</v>
      </c>
      <c r="G57" s="7">
        <v>7</v>
      </c>
      <c r="H57" s="7">
        <v>7210</v>
      </c>
      <c r="I57" s="5">
        <v>72.099999999999994</v>
      </c>
      <c r="J57" s="5">
        <v>7137.9</v>
      </c>
      <c r="K57" s="7">
        <v>5150</v>
      </c>
      <c r="L57" s="5">
        <v>1987.8999999999901</v>
      </c>
      <c r="M57" s="1">
        <v>41760</v>
      </c>
      <c r="N57">
        <v>5</v>
      </c>
      <c r="O57" t="s">
        <v>22</v>
      </c>
      <c r="P57" t="s">
        <v>12</v>
      </c>
      <c r="Q57" s="5">
        <f>tbl_financials[[#This Row],[Net_Sales]]</f>
        <v>7137.9</v>
      </c>
      <c r="R57" s="5">
        <f>ROUND(tbl_financials[[#This Row],[Revenue]]*(0.12+MOD(ROW(),7)/100),2)</f>
        <v>927.93</v>
      </c>
      <c r="S57" s="7">
        <f t="shared" si="0"/>
        <v>2767</v>
      </c>
      <c r="T57" s="5">
        <f>tbl_financials[[#This Row],[Gross_Profit]]-tbl_financials[[#This Row],[Operating_Expenses]]+tbl_financials[[#This Row],[Other_Income]]</f>
        <v>3826.9699999999903</v>
      </c>
      <c r="U57" s="11">
        <f>IF(tbl_financials[[#This Row],[Revenue]]=0,0,tbl_financials[[#This Row],[Net_Profit]]/tbl_financials[[#This Row],[Revenue]])</f>
        <v>0.53614788663332213</v>
      </c>
      <c r="V57" s="11" t="str">
        <f>tbl_financials[[#This Row],[Month_Name]] &amp; "_" &amp; tbl_financials[[#This Row],[Year]]</f>
        <v>May_2014</v>
      </c>
      <c r="W57" s="11" t="str">
        <f>tbl_financials[[#This Row],[Month_Name]] &amp; "_" &amp; (tbl_financials[[#This Row],[Year]]-1)</f>
        <v>May_2013</v>
      </c>
      <c r="X5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8" spans="1:24" x14ac:dyDescent="0.3">
      <c r="A58" t="s">
        <v>7</v>
      </c>
      <c r="B58" t="s">
        <v>15</v>
      </c>
      <c r="C58" t="s">
        <v>35</v>
      </c>
      <c r="D58" t="s">
        <v>39</v>
      </c>
      <c r="E58" s="9">
        <v>639</v>
      </c>
      <c r="F58" s="7">
        <v>120</v>
      </c>
      <c r="G58" s="7">
        <v>7</v>
      </c>
      <c r="H58" s="7">
        <v>4473</v>
      </c>
      <c r="I58" s="5">
        <v>44.73</v>
      </c>
      <c r="J58" s="5">
        <v>4428.2700000000004</v>
      </c>
      <c r="K58" s="7">
        <v>3195</v>
      </c>
      <c r="L58" s="5">
        <v>1233.27</v>
      </c>
      <c r="M58" s="1">
        <v>41944</v>
      </c>
      <c r="N58">
        <v>11</v>
      </c>
      <c r="O58" t="s">
        <v>28</v>
      </c>
      <c r="P58" t="s">
        <v>12</v>
      </c>
      <c r="Q58" s="5">
        <f>tbl_financials[[#This Row],[Net_Sales]]</f>
        <v>4428.2700000000004</v>
      </c>
      <c r="R58" s="5">
        <f>ROUND(tbl_financials[[#This Row],[Revenue]]*(0.12+MOD(ROW(),7)/100),2)</f>
        <v>619.96</v>
      </c>
      <c r="S58" s="7">
        <f t="shared" si="0"/>
        <v>2798</v>
      </c>
      <c r="T58" s="5">
        <f>tbl_financials[[#This Row],[Gross_Profit]]-tbl_financials[[#This Row],[Operating_Expenses]]+tbl_financials[[#This Row],[Other_Income]]</f>
        <v>3411.31</v>
      </c>
      <c r="U58" s="11">
        <f>IF(tbl_financials[[#This Row],[Revenue]]=0,0,tbl_financials[[#This Row],[Net_Profit]]/tbl_financials[[#This Row],[Revenue]])</f>
        <v>0.77034823983180778</v>
      </c>
      <c r="V58" s="11" t="str">
        <f>tbl_financials[[#This Row],[Month_Name]] &amp; "_" &amp; tbl_financials[[#This Row],[Year]]</f>
        <v>November_2014</v>
      </c>
      <c r="W58" s="11" t="str">
        <f>tbl_financials[[#This Row],[Month_Name]] &amp; "_" &amp; (tbl_financials[[#This Row],[Year]]-1)</f>
        <v>November_2013</v>
      </c>
      <c r="X5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-0.99266539130434783</v>
      </c>
    </row>
    <row r="59" spans="1:24" x14ac:dyDescent="0.3">
      <c r="A59" t="s">
        <v>7</v>
      </c>
      <c r="B59" t="s">
        <v>13</v>
      </c>
      <c r="C59" t="s">
        <v>36</v>
      </c>
      <c r="D59" t="s">
        <v>39</v>
      </c>
      <c r="E59" s="9">
        <v>1326</v>
      </c>
      <c r="F59" s="7">
        <v>250</v>
      </c>
      <c r="G59" s="7">
        <v>7</v>
      </c>
      <c r="H59" s="7">
        <v>9282</v>
      </c>
      <c r="I59" s="5">
        <v>92.82</v>
      </c>
      <c r="J59" s="5">
        <v>9189.18</v>
      </c>
      <c r="K59" s="7">
        <v>6630</v>
      </c>
      <c r="L59" s="5">
        <v>2559.1799999999998</v>
      </c>
      <c r="M59" s="1">
        <v>41699</v>
      </c>
      <c r="N59">
        <v>3</v>
      </c>
      <c r="O59" t="s">
        <v>20</v>
      </c>
      <c r="P59" t="s">
        <v>12</v>
      </c>
      <c r="Q59" s="5">
        <f>tbl_financials[[#This Row],[Net_Sales]]</f>
        <v>9189.18</v>
      </c>
      <c r="R59" s="5">
        <f>ROUND(tbl_financials[[#This Row],[Revenue]]*(0.12+MOD(ROW(),7)/100),2)</f>
        <v>1378.38</v>
      </c>
      <c r="S59" s="7">
        <f t="shared" si="0"/>
        <v>2829</v>
      </c>
      <c r="T59" s="5">
        <f>tbl_financials[[#This Row],[Gross_Profit]]-tbl_financials[[#This Row],[Operating_Expenses]]+tbl_financials[[#This Row],[Other_Income]]</f>
        <v>4009.7999999999997</v>
      </c>
      <c r="U59" s="11">
        <f>IF(tbl_financials[[#This Row],[Revenue]]=0,0,tbl_financials[[#This Row],[Net_Profit]]/tbl_financials[[#This Row],[Revenue]])</f>
        <v>0.43636102459631865</v>
      </c>
      <c r="V59" s="11" t="str">
        <f>tbl_financials[[#This Row],[Month_Name]] &amp; "_" &amp; tbl_financials[[#This Row],[Year]]</f>
        <v>March_2014</v>
      </c>
      <c r="W59" s="11" t="str">
        <f>tbl_financials[[#This Row],[Month_Name]] &amp; "_" &amp; (tbl_financials[[#This Row],[Year]]-1)</f>
        <v>March_2013</v>
      </c>
      <c r="X5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0" spans="1:24" x14ac:dyDescent="0.3">
      <c r="A60" t="s">
        <v>8</v>
      </c>
      <c r="B60" t="s">
        <v>14</v>
      </c>
      <c r="C60" t="s">
        <v>32</v>
      </c>
      <c r="D60" t="s">
        <v>39</v>
      </c>
      <c r="E60" s="9">
        <v>1858</v>
      </c>
      <c r="F60" s="7">
        <v>3</v>
      </c>
      <c r="G60" s="7">
        <v>12</v>
      </c>
      <c r="H60" s="7">
        <v>22296</v>
      </c>
      <c r="I60" s="5">
        <v>222.96</v>
      </c>
      <c r="J60" s="5">
        <v>22073.040000000001</v>
      </c>
      <c r="K60" s="7">
        <v>5574</v>
      </c>
      <c r="L60" s="5">
        <v>16499.04</v>
      </c>
      <c r="M60" s="1">
        <v>41671</v>
      </c>
      <c r="N60">
        <v>2</v>
      </c>
      <c r="O60" t="s">
        <v>19</v>
      </c>
      <c r="P60" t="s">
        <v>12</v>
      </c>
      <c r="Q60" s="5">
        <f>tbl_financials[[#This Row],[Net_Sales]]</f>
        <v>22073.040000000001</v>
      </c>
      <c r="R60" s="5">
        <f>ROUND(tbl_financials[[#This Row],[Revenue]]*(0.12+MOD(ROW(),7)/100),2)</f>
        <v>3531.69</v>
      </c>
      <c r="S60" s="7">
        <f t="shared" si="0"/>
        <v>2860</v>
      </c>
      <c r="T60" s="5">
        <f>tbl_financials[[#This Row],[Gross_Profit]]-tbl_financials[[#This Row],[Operating_Expenses]]+tbl_financials[[#This Row],[Other_Income]]</f>
        <v>15827.35</v>
      </c>
      <c r="U60" s="11">
        <f>IF(tbl_financials[[#This Row],[Revenue]]=0,0,tbl_financials[[#This Row],[Net_Profit]]/tbl_financials[[#This Row],[Revenue]])</f>
        <v>0.71704441255033291</v>
      </c>
      <c r="V60" s="11" t="str">
        <f>tbl_financials[[#This Row],[Month_Name]] &amp; "_" &amp; tbl_financials[[#This Row],[Year]]</f>
        <v>February_2014</v>
      </c>
      <c r="W60" s="11" t="str">
        <f>tbl_financials[[#This Row],[Month_Name]] &amp; "_" &amp; (tbl_financials[[#This Row],[Year]]-1)</f>
        <v>February_2013</v>
      </c>
      <c r="X6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1" spans="1:24" x14ac:dyDescent="0.3">
      <c r="A61" t="s">
        <v>7</v>
      </c>
      <c r="B61" t="s">
        <v>17</v>
      </c>
      <c r="C61" t="s">
        <v>32</v>
      </c>
      <c r="D61" t="s">
        <v>39</v>
      </c>
      <c r="E61" s="9">
        <v>1210</v>
      </c>
      <c r="F61" s="7">
        <v>3</v>
      </c>
      <c r="G61" s="7">
        <v>350</v>
      </c>
      <c r="H61" s="7">
        <v>423500</v>
      </c>
      <c r="I61" s="5">
        <v>4235</v>
      </c>
      <c r="J61" s="5">
        <v>419265</v>
      </c>
      <c r="K61" s="7">
        <v>314600</v>
      </c>
      <c r="L61" s="5">
        <v>104665</v>
      </c>
      <c r="M61" s="1">
        <v>41699</v>
      </c>
      <c r="N61">
        <v>3</v>
      </c>
      <c r="O61" t="s">
        <v>20</v>
      </c>
      <c r="P61" t="s">
        <v>12</v>
      </c>
      <c r="Q61" s="5">
        <f>tbl_financials[[#This Row],[Net_Sales]]</f>
        <v>419265</v>
      </c>
      <c r="R61" s="5">
        <f>ROUND(tbl_financials[[#This Row],[Revenue]]*(0.12+MOD(ROW(),7)/100),2)</f>
        <v>71275.05</v>
      </c>
      <c r="S61" s="7">
        <f t="shared" si="0"/>
        <v>2891</v>
      </c>
      <c r="T61" s="5">
        <f>tbl_financials[[#This Row],[Gross_Profit]]-tbl_financials[[#This Row],[Operating_Expenses]]+tbl_financials[[#This Row],[Other_Income]]</f>
        <v>36280.949999999997</v>
      </c>
      <c r="U61" s="11">
        <f>IF(tbl_financials[[#This Row],[Revenue]]=0,0,tbl_financials[[#This Row],[Net_Profit]]/tbl_financials[[#This Row],[Revenue]])</f>
        <v>8.6534649923079673E-2</v>
      </c>
      <c r="V61" s="11" t="str">
        <f>tbl_financials[[#This Row],[Month_Name]] &amp; "_" &amp; tbl_financials[[#This Row],[Year]]</f>
        <v>March_2014</v>
      </c>
      <c r="W61" s="11" t="str">
        <f>tbl_financials[[#This Row],[Month_Name]] &amp; "_" &amp; (tbl_financials[[#This Row],[Year]]-1)</f>
        <v>March_2013</v>
      </c>
      <c r="X6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2" spans="1:24" x14ac:dyDescent="0.3">
      <c r="A62" t="s">
        <v>7</v>
      </c>
      <c r="B62" t="s">
        <v>14</v>
      </c>
      <c r="C62" t="s">
        <v>32</v>
      </c>
      <c r="D62" t="s">
        <v>39</v>
      </c>
      <c r="E62" s="9">
        <v>2529</v>
      </c>
      <c r="F62" s="7">
        <v>3</v>
      </c>
      <c r="G62" s="7">
        <v>7</v>
      </c>
      <c r="H62" s="7">
        <v>17703</v>
      </c>
      <c r="I62" s="5">
        <v>177.03</v>
      </c>
      <c r="J62" s="5">
        <v>17525.97</v>
      </c>
      <c r="K62" s="7">
        <v>12645</v>
      </c>
      <c r="L62" s="5">
        <v>4880.9699999999903</v>
      </c>
      <c r="M62" s="1">
        <v>41821</v>
      </c>
      <c r="N62">
        <v>7</v>
      </c>
      <c r="O62" t="s">
        <v>24</v>
      </c>
      <c r="P62" t="s">
        <v>12</v>
      </c>
      <c r="Q62" s="5">
        <f>tbl_financials[[#This Row],[Net_Sales]]</f>
        <v>17525.97</v>
      </c>
      <c r="R62" s="5">
        <f>ROUND(tbl_financials[[#This Row],[Revenue]]*(0.12+MOD(ROW(),7)/100),2)</f>
        <v>3154.67</v>
      </c>
      <c r="S62" s="7">
        <f t="shared" si="0"/>
        <v>2922</v>
      </c>
      <c r="T62" s="5">
        <f>tbl_financials[[#This Row],[Gross_Profit]]-tbl_financials[[#This Row],[Operating_Expenses]]+tbl_financials[[#This Row],[Other_Income]]</f>
        <v>4648.2999999999902</v>
      </c>
      <c r="U62" s="11">
        <f>IF(tbl_financials[[#This Row],[Revenue]]=0,0,tbl_financials[[#This Row],[Net_Profit]]/tbl_financials[[#This Row],[Revenue]])</f>
        <v>0.26522355110729906</v>
      </c>
      <c r="V62" s="11" t="str">
        <f>tbl_financials[[#This Row],[Month_Name]] &amp; "_" &amp; tbl_financials[[#This Row],[Year]]</f>
        <v>July_2014</v>
      </c>
      <c r="W62" s="11" t="str">
        <f>tbl_financials[[#This Row],[Month_Name]] &amp; "_" &amp; (tbl_financials[[#This Row],[Year]]-1)</f>
        <v>July_2013</v>
      </c>
      <c r="X6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3" spans="1:24" x14ac:dyDescent="0.3">
      <c r="A63" t="s">
        <v>8</v>
      </c>
      <c r="B63" t="s">
        <v>13</v>
      </c>
      <c r="C63" t="s">
        <v>32</v>
      </c>
      <c r="D63" t="s">
        <v>39</v>
      </c>
      <c r="E63" s="9">
        <v>1445</v>
      </c>
      <c r="F63" s="7">
        <v>3</v>
      </c>
      <c r="G63" s="7">
        <v>12</v>
      </c>
      <c r="H63" s="7">
        <v>17340</v>
      </c>
      <c r="I63" s="5">
        <v>173.4</v>
      </c>
      <c r="J63" s="5">
        <v>17166.599999999999</v>
      </c>
      <c r="K63" s="7">
        <v>4335</v>
      </c>
      <c r="L63" s="5">
        <v>12831.5999999999</v>
      </c>
      <c r="M63" s="1">
        <v>41883</v>
      </c>
      <c r="N63">
        <v>9</v>
      </c>
      <c r="O63" t="s">
        <v>26</v>
      </c>
      <c r="P63" t="s">
        <v>12</v>
      </c>
      <c r="Q63" s="5">
        <f>tbl_financials[[#This Row],[Net_Sales]]</f>
        <v>17166.599999999999</v>
      </c>
      <c r="R63" s="5">
        <f>ROUND(tbl_financials[[#This Row],[Revenue]]*(0.12+MOD(ROW(),7)/100),2)</f>
        <v>2059.9899999999998</v>
      </c>
      <c r="S63" s="7">
        <f t="shared" si="0"/>
        <v>2953</v>
      </c>
      <c r="T63" s="5">
        <f>tbl_financials[[#This Row],[Gross_Profit]]-tbl_financials[[#This Row],[Operating_Expenses]]+tbl_financials[[#This Row],[Other_Income]]</f>
        <v>13724.609999999901</v>
      </c>
      <c r="U63" s="11">
        <f>IF(tbl_financials[[#This Row],[Revenue]]=0,0,tbl_financials[[#This Row],[Net_Profit]]/tbl_financials[[#This Row],[Revenue]])</f>
        <v>0.79949494949494382</v>
      </c>
      <c r="V63" s="11" t="str">
        <f>tbl_financials[[#This Row],[Month_Name]] &amp; "_" &amp; tbl_financials[[#This Row],[Year]]</f>
        <v>September_2014</v>
      </c>
      <c r="W63" s="11" t="str">
        <f>tbl_financials[[#This Row],[Month_Name]] &amp; "_" &amp; (tbl_financials[[#This Row],[Year]]-1)</f>
        <v>September_2013</v>
      </c>
      <c r="X6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1.084590163934426</v>
      </c>
    </row>
    <row r="64" spans="1:24" x14ac:dyDescent="0.3">
      <c r="A64" t="s">
        <v>6</v>
      </c>
      <c r="B64" t="s">
        <v>14</v>
      </c>
      <c r="C64" t="s">
        <v>32</v>
      </c>
      <c r="D64" t="s">
        <v>39</v>
      </c>
      <c r="E64" s="9">
        <v>330</v>
      </c>
      <c r="F64" s="7">
        <v>3</v>
      </c>
      <c r="G64" s="7">
        <v>125</v>
      </c>
      <c r="H64" s="7">
        <v>41250</v>
      </c>
      <c r="I64" s="5">
        <v>412.5</v>
      </c>
      <c r="J64" s="5">
        <v>40837.5</v>
      </c>
      <c r="K64" s="7">
        <v>39600</v>
      </c>
      <c r="L64" s="5">
        <v>1237.5</v>
      </c>
      <c r="M64" s="1">
        <v>41518</v>
      </c>
      <c r="N64">
        <v>9</v>
      </c>
      <c r="O64" t="s">
        <v>26</v>
      </c>
      <c r="P64" t="s">
        <v>11</v>
      </c>
      <c r="Q64" s="5">
        <f>tbl_financials[[#This Row],[Net_Sales]]</f>
        <v>40837.5</v>
      </c>
      <c r="R64" s="5">
        <f>ROUND(tbl_financials[[#This Row],[Revenue]]*(0.12+MOD(ROW(),7)/100),2)</f>
        <v>5308.88</v>
      </c>
      <c r="S64" s="7">
        <f t="shared" si="0"/>
        <v>2984</v>
      </c>
      <c r="T64" s="5">
        <f>tbl_financials[[#This Row],[Gross_Profit]]-tbl_financials[[#This Row],[Operating_Expenses]]+tbl_financials[[#This Row],[Other_Income]]</f>
        <v>-1087.3800000000001</v>
      </c>
      <c r="U64" s="11">
        <f>IF(tbl_financials[[#This Row],[Revenue]]=0,0,tbl_financials[[#This Row],[Net_Profit]]/tbl_financials[[#This Row],[Revenue]])</f>
        <v>-2.6626997245179067E-2</v>
      </c>
      <c r="V64" s="11" t="str">
        <f>tbl_financials[[#This Row],[Month_Name]] &amp; "_" &amp; tbl_financials[[#This Row],[Year]]</f>
        <v>September_2013</v>
      </c>
      <c r="W64" s="11" t="str">
        <f>tbl_financials[[#This Row],[Month_Name]] &amp; "_" &amp; (tbl_financials[[#This Row],[Year]]-1)</f>
        <v>September_2012</v>
      </c>
      <c r="X6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5" spans="1:24" x14ac:dyDescent="0.3">
      <c r="A65" t="s">
        <v>8</v>
      </c>
      <c r="B65" t="s">
        <v>15</v>
      </c>
      <c r="C65" t="s">
        <v>32</v>
      </c>
      <c r="D65" t="s">
        <v>39</v>
      </c>
      <c r="E65" s="9">
        <v>2671</v>
      </c>
      <c r="F65" s="7">
        <v>3</v>
      </c>
      <c r="G65" s="7">
        <v>12</v>
      </c>
      <c r="H65" s="7">
        <v>32052</v>
      </c>
      <c r="I65" s="5">
        <v>320.52</v>
      </c>
      <c r="J65" s="5">
        <v>31731.48</v>
      </c>
      <c r="K65" s="7">
        <v>8013</v>
      </c>
      <c r="L65" s="5">
        <v>23718.48</v>
      </c>
      <c r="M65" s="1">
        <v>41883</v>
      </c>
      <c r="N65">
        <v>9</v>
      </c>
      <c r="O65" t="s">
        <v>26</v>
      </c>
      <c r="P65" t="s">
        <v>12</v>
      </c>
      <c r="Q65" s="5">
        <f>tbl_financials[[#This Row],[Net_Sales]]</f>
        <v>31731.48</v>
      </c>
      <c r="R65" s="5">
        <f>ROUND(tbl_financials[[#This Row],[Revenue]]*(0.12+MOD(ROW(),7)/100),2)</f>
        <v>4442.41</v>
      </c>
      <c r="S65" s="7">
        <f t="shared" si="0"/>
        <v>3015</v>
      </c>
      <c r="T65" s="5">
        <f>tbl_financials[[#This Row],[Gross_Profit]]-tbl_financials[[#This Row],[Operating_Expenses]]+tbl_financials[[#This Row],[Other_Income]]</f>
        <v>22291.07</v>
      </c>
      <c r="U65" s="11">
        <f>IF(tbl_financials[[#This Row],[Revenue]]=0,0,tbl_financials[[#This Row],[Net_Profit]]/tbl_financials[[#This Row],[Revenue]])</f>
        <v>0.70249071269288421</v>
      </c>
      <c r="V65" s="11" t="str">
        <f>tbl_financials[[#This Row],[Month_Name]] &amp; "_" &amp; tbl_financials[[#This Row],[Year]]</f>
        <v>September_2014</v>
      </c>
      <c r="W65" s="11" t="str">
        <f>tbl_financials[[#This Row],[Month_Name]] &amp; "_" &amp; (tbl_financials[[#This Row],[Year]]-1)</f>
        <v>September_2013</v>
      </c>
      <c r="X6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2.8532459016393443</v>
      </c>
    </row>
    <row r="66" spans="1:24" x14ac:dyDescent="0.3">
      <c r="A66" t="s">
        <v>8</v>
      </c>
      <c r="B66" t="s">
        <v>16</v>
      </c>
      <c r="C66" t="s">
        <v>32</v>
      </c>
      <c r="D66" t="s">
        <v>39</v>
      </c>
      <c r="E66" s="9">
        <v>766</v>
      </c>
      <c r="F66" s="7">
        <v>3</v>
      </c>
      <c r="G66" s="7">
        <v>12</v>
      </c>
      <c r="H66" s="7">
        <v>9192</v>
      </c>
      <c r="I66" s="5">
        <v>91.92</v>
      </c>
      <c r="J66" s="5">
        <v>9100.08</v>
      </c>
      <c r="K66" s="7">
        <v>2298</v>
      </c>
      <c r="L66" s="5">
        <v>6802.08</v>
      </c>
      <c r="M66" s="1">
        <v>41548</v>
      </c>
      <c r="N66">
        <v>10</v>
      </c>
      <c r="O66" t="s">
        <v>27</v>
      </c>
      <c r="P66" t="s">
        <v>11</v>
      </c>
      <c r="Q66" s="5">
        <f>tbl_financials[[#This Row],[Net_Sales]]</f>
        <v>9100.08</v>
      </c>
      <c r="R66" s="5">
        <f>ROUND(tbl_financials[[#This Row],[Revenue]]*(0.12+MOD(ROW(),7)/100),2)</f>
        <v>1365.01</v>
      </c>
      <c r="S66" s="7">
        <f t="shared" ref="S66:S129" si="1">ROUND(1000+MOD(ROW()*31,9000),0)</f>
        <v>3046</v>
      </c>
      <c r="T66" s="5">
        <f>tbl_financials[[#This Row],[Gross_Profit]]-tbl_financials[[#This Row],[Operating_Expenses]]+tbl_financials[[#This Row],[Other_Income]]</f>
        <v>8483.07</v>
      </c>
      <c r="U66" s="11">
        <f>IF(tbl_financials[[#This Row],[Revenue]]=0,0,tbl_financials[[#This Row],[Net_Profit]]/tbl_financials[[#This Row],[Revenue]])</f>
        <v>0.93219729936440121</v>
      </c>
      <c r="V66" s="11" t="str">
        <f>tbl_financials[[#This Row],[Month_Name]] &amp; "_" &amp; tbl_financials[[#This Row],[Year]]</f>
        <v>October_2013</v>
      </c>
      <c r="W66" s="11" t="str">
        <f>tbl_financials[[#This Row],[Month_Name]] &amp; "_" &amp; (tbl_financials[[#This Row],[Year]]-1)</f>
        <v>October_2012</v>
      </c>
      <c r="X6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7" spans="1:24" x14ac:dyDescent="0.3">
      <c r="A67" t="s">
        <v>4</v>
      </c>
      <c r="B67" t="s">
        <v>17</v>
      </c>
      <c r="C67" t="s">
        <v>32</v>
      </c>
      <c r="D67" t="s">
        <v>39</v>
      </c>
      <c r="E67" s="9">
        <v>494</v>
      </c>
      <c r="F67" s="7">
        <v>3</v>
      </c>
      <c r="G67" s="7">
        <v>300</v>
      </c>
      <c r="H67" s="7">
        <v>148200</v>
      </c>
      <c r="I67" s="5">
        <v>1482</v>
      </c>
      <c r="J67" s="5">
        <v>146718</v>
      </c>
      <c r="K67" s="7">
        <v>123500</v>
      </c>
      <c r="L67" s="5">
        <v>23218</v>
      </c>
      <c r="M67" s="1">
        <v>41548</v>
      </c>
      <c r="N67">
        <v>10</v>
      </c>
      <c r="O67" t="s">
        <v>27</v>
      </c>
      <c r="P67" t="s">
        <v>11</v>
      </c>
      <c r="Q67" s="5">
        <f>tbl_financials[[#This Row],[Net_Sales]]</f>
        <v>146718</v>
      </c>
      <c r="R67" s="5">
        <f>ROUND(tbl_financials[[#This Row],[Revenue]]*(0.12+MOD(ROW(),7)/100),2)</f>
        <v>23474.880000000001</v>
      </c>
      <c r="S67" s="7">
        <f t="shared" si="1"/>
        <v>3077</v>
      </c>
      <c r="T67" s="5">
        <f>tbl_financials[[#This Row],[Gross_Profit]]-tbl_financials[[#This Row],[Operating_Expenses]]+tbl_financials[[#This Row],[Other_Income]]</f>
        <v>2820.119999999999</v>
      </c>
      <c r="U67" s="11">
        <f>IF(tbl_financials[[#This Row],[Revenue]]=0,0,tbl_financials[[#This Row],[Net_Profit]]/tbl_financials[[#This Row],[Revenue]])</f>
        <v>1.9221363431889741E-2</v>
      </c>
      <c r="V67" s="11" t="str">
        <f>tbl_financials[[#This Row],[Month_Name]] &amp; "_" &amp; tbl_financials[[#This Row],[Year]]</f>
        <v>October_2013</v>
      </c>
      <c r="W67" s="11" t="str">
        <f>tbl_financials[[#This Row],[Month_Name]] &amp; "_" &amp; (tbl_financials[[#This Row],[Year]]-1)</f>
        <v>October_2012</v>
      </c>
      <c r="X6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8" spans="1:24" x14ac:dyDescent="0.3">
      <c r="A68" t="s">
        <v>7</v>
      </c>
      <c r="B68" t="s">
        <v>17</v>
      </c>
      <c r="C68" t="s">
        <v>32</v>
      </c>
      <c r="D68" t="s">
        <v>39</v>
      </c>
      <c r="E68" s="9">
        <v>1397</v>
      </c>
      <c r="F68" s="7">
        <v>3</v>
      </c>
      <c r="G68" s="7">
        <v>350</v>
      </c>
      <c r="H68" s="7">
        <v>488950</v>
      </c>
      <c r="I68" s="5">
        <v>4889.5</v>
      </c>
      <c r="J68" s="5">
        <v>484060.5</v>
      </c>
      <c r="K68" s="7">
        <v>363220</v>
      </c>
      <c r="L68" s="5">
        <v>120840.5</v>
      </c>
      <c r="M68" s="1">
        <v>41913</v>
      </c>
      <c r="N68">
        <v>10</v>
      </c>
      <c r="O68" t="s">
        <v>27</v>
      </c>
      <c r="P68" t="s">
        <v>12</v>
      </c>
      <c r="Q68" s="5">
        <f>tbl_financials[[#This Row],[Net_Sales]]</f>
        <v>484060.5</v>
      </c>
      <c r="R68" s="5">
        <f>ROUND(tbl_financials[[#This Row],[Revenue]]*(0.12+MOD(ROW(),7)/100),2)</f>
        <v>82290.289999999994</v>
      </c>
      <c r="S68" s="7">
        <f t="shared" si="1"/>
        <v>3108</v>
      </c>
      <c r="T68" s="5">
        <f>tbl_financials[[#This Row],[Gross_Profit]]-tbl_financials[[#This Row],[Operating_Expenses]]+tbl_financials[[#This Row],[Other_Income]]</f>
        <v>41658.210000000006</v>
      </c>
      <c r="U68" s="11">
        <f>IF(tbl_financials[[#This Row],[Revenue]]=0,0,tbl_financials[[#This Row],[Net_Profit]]/tbl_financials[[#This Row],[Revenue]])</f>
        <v>8.6059924327640883E-2</v>
      </c>
      <c r="V68" s="11" t="str">
        <f>tbl_financials[[#This Row],[Month_Name]] &amp; "_" &amp; tbl_financials[[#This Row],[Year]]</f>
        <v>October_2014</v>
      </c>
      <c r="W68" s="11" t="str">
        <f>tbl_financials[[#This Row],[Month_Name]] &amp; "_" &amp; (tbl_financials[[#This Row],[Year]]-1)</f>
        <v>October_2013</v>
      </c>
      <c r="X6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10.224591304347825</v>
      </c>
    </row>
    <row r="69" spans="1:24" x14ac:dyDescent="0.3">
      <c r="A69" t="s">
        <v>7</v>
      </c>
      <c r="B69" t="s">
        <v>15</v>
      </c>
      <c r="C69" t="s">
        <v>32</v>
      </c>
      <c r="D69" t="s">
        <v>39</v>
      </c>
      <c r="E69" s="9">
        <v>2155</v>
      </c>
      <c r="F69" s="7">
        <v>3</v>
      </c>
      <c r="G69" s="7">
        <v>350</v>
      </c>
      <c r="H69" s="7">
        <v>754250</v>
      </c>
      <c r="I69" s="5">
        <v>7542.5</v>
      </c>
      <c r="J69" s="5">
        <v>746707.5</v>
      </c>
      <c r="K69" s="7">
        <v>560300</v>
      </c>
      <c r="L69" s="5">
        <v>186407.5</v>
      </c>
      <c r="M69" s="1">
        <v>41974</v>
      </c>
      <c r="N69">
        <v>12</v>
      </c>
      <c r="O69" t="s">
        <v>29</v>
      </c>
      <c r="P69" t="s">
        <v>12</v>
      </c>
      <c r="Q69" s="5">
        <f>tbl_financials[[#This Row],[Net_Sales]]</f>
        <v>746707.5</v>
      </c>
      <c r="R69" s="5">
        <f>ROUND(tbl_financials[[#This Row],[Revenue]]*(0.12+MOD(ROW(),7)/100),2)</f>
        <v>134407.35</v>
      </c>
      <c r="S69" s="7">
        <f t="shared" si="1"/>
        <v>3139</v>
      </c>
      <c r="T69" s="5">
        <f>tbl_financials[[#This Row],[Gross_Profit]]-tbl_financials[[#This Row],[Operating_Expenses]]+tbl_financials[[#This Row],[Other_Income]]</f>
        <v>55139.149999999994</v>
      </c>
      <c r="U69" s="11">
        <f>IF(tbl_financials[[#This Row],[Revenue]]=0,0,tbl_financials[[#This Row],[Net_Profit]]/tbl_financials[[#This Row],[Revenue]])</f>
        <v>7.3843037601738284E-2</v>
      </c>
      <c r="V69" s="11" t="str">
        <f>tbl_financials[[#This Row],[Month_Name]] &amp; "_" &amp; tbl_financials[[#This Row],[Year]]</f>
        <v>December_2014</v>
      </c>
      <c r="W69" s="11" t="str">
        <f>tbl_financials[[#This Row],[Month_Name]] &amp; "_" &amp; (tbl_financials[[#This Row],[Year]]-1)</f>
        <v>December_2013</v>
      </c>
      <c r="X6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22.132202602230482</v>
      </c>
    </row>
    <row r="70" spans="1:24" x14ac:dyDescent="0.3">
      <c r="A70" t="s">
        <v>5</v>
      </c>
      <c r="B70" t="s">
        <v>17</v>
      </c>
      <c r="C70" t="s">
        <v>33</v>
      </c>
      <c r="D70" t="s">
        <v>39</v>
      </c>
      <c r="E70" s="9">
        <v>2214</v>
      </c>
      <c r="F70" s="7">
        <v>5</v>
      </c>
      <c r="G70" s="7">
        <v>15</v>
      </c>
      <c r="H70" s="7">
        <v>33210</v>
      </c>
      <c r="I70" s="5">
        <v>332.1</v>
      </c>
      <c r="J70" s="5">
        <v>32877.9</v>
      </c>
      <c r="K70" s="7">
        <v>22140</v>
      </c>
      <c r="L70" s="5">
        <v>10737.9</v>
      </c>
      <c r="M70" s="1">
        <v>41699</v>
      </c>
      <c r="N70">
        <v>3</v>
      </c>
      <c r="O70" t="s">
        <v>20</v>
      </c>
      <c r="P70" t="s">
        <v>12</v>
      </c>
      <c r="Q70" s="5">
        <f>tbl_financials[[#This Row],[Net_Sales]]</f>
        <v>32877.9</v>
      </c>
      <c r="R70" s="5">
        <f>ROUND(tbl_financials[[#This Row],[Revenue]]*(0.12+MOD(ROW(),7)/100),2)</f>
        <v>3945.35</v>
      </c>
      <c r="S70" s="7">
        <f t="shared" si="1"/>
        <v>3170</v>
      </c>
      <c r="T70" s="5">
        <f>tbl_financials[[#This Row],[Gross_Profit]]-tbl_financials[[#This Row],[Operating_Expenses]]+tbl_financials[[#This Row],[Other_Income]]</f>
        <v>9962.5499999999993</v>
      </c>
      <c r="U70" s="11">
        <f>IF(tbl_financials[[#This Row],[Revenue]]=0,0,tbl_financials[[#This Row],[Net_Profit]]/tbl_financials[[#This Row],[Revenue]])</f>
        <v>0.30301661602474605</v>
      </c>
      <c r="V70" s="11" t="str">
        <f>tbl_financials[[#This Row],[Month_Name]] &amp; "_" &amp; tbl_financials[[#This Row],[Year]]</f>
        <v>March_2014</v>
      </c>
      <c r="W70" s="11" t="str">
        <f>tbl_financials[[#This Row],[Month_Name]] &amp; "_" &amp; (tbl_financials[[#This Row],[Year]]-1)</f>
        <v>March_2013</v>
      </c>
      <c r="X7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71" spans="1:24" x14ac:dyDescent="0.3">
      <c r="A71" t="s">
        <v>4</v>
      </c>
      <c r="B71" t="s">
        <v>14</v>
      </c>
      <c r="C71" t="s">
        <v>33</v>
      </c>
      <c r="D71" t="s">
        <v>39</v>
      </c>
      <c r="E71" s="9">
        <v>2301</v>
      </c>
      <c r="F71" s="7">
        <v>5</v>
      </c>
      <c r="G71" s="7">
        <v>300</v>
      </c>
      <c r="H71" s="7">
        <v>690300</v>
      </c>
      <c r="I71" s="5">
        <v>6903</v>
      </c>
      <c r="J71" s="5">
        <v>683397</v>
      </c>
      <c r="K71" s="7">
        <v>575250</v>
      </c>
      <c r="L71" s="5">
        <v>108147</v>
      </c>
      <c r="M71" s="1">
        <v>41730</v>
      </c>
      <c r="N71">
        <v>4</v>
      </c>
      <c r="O71" t="s">
        <v>21</v>
      </c>
      <c r="P71" t="s">
        <v>12</v>
      </c>
      <c r="Q71" s="5">
        <f>tbl_financials[[#This Row],[Net_Sales]]</f>
        <v>683397</v>
      </c>
      <c r="R71" s="5">
        <f>ROUND(tbl_financials[[#This Row],[Revenue]]*(0.12+MOD(ROW(),7)/100),2)</f>
        <v>88841.61</v>
      </c>
      <c r="S71" s="7">
        <f t="shared" si="1"/>
        <v>3201</v>
      </c>
      <c r="T71" s="5">
        <f>tbl_financials[[#This Row],[Gross_Profit]]-tbl_financials[[#This Row],[Operating_Expenses]]+tbl_financials[[#This Row],[Other_Income]]</f>
        <v>22506.39</v>
      </c>
      <c r="U71" s="11">
        <f>IF(tbl_financials[[#This Row],[Revenue]]=0,0,tbl_financials[[#This Row],[Net_Profit]]/tbl_financials[[#This Row],[Revenue]])</f>
        <v>3.2933112085654456E-2</v>
      </c>
      <c r="V71" s="11" t="str">
        <f>tbl_financials[[#This Row],[Month_Name]] &amp; "_" &amp; tbl_financials[[#This Row],[Year]]</f>
        <v>April_2014</v>
      </c>
      <c r="W71" s="11" t="str">
        <f>tbl_financials[[#This Row],[Month_Name]] &amp; "_" &amp; (tbl_financials[[#This Row],[Year]]-1)</f>
        <v>April_2013</v>
      </c>
      <c r="X7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72" spans="1:24" x14ac:dyDescent="0.3">
      <c r="A72" t="s">
        <v>7</v>
      </c>
      <c r="B72" t="s">
        <v>15</v>
      </c>
      <c r="C72" t="s">
        <v>33</v>
      </c>
      <c r="D72" t="s">
        <v>39</v>
      </c>
      <c r="E72" s="9">
        <v>1375.5</v>
      </c>
      <c r="F72" s="7">
        <v>5</v>
      </c>
      <c r="G72" s="7">
        <v>20</v>
      </c>
      <c r="H72" s="7">
        <v>27510</v>
      </c>
      <c r="I72" s="5">
        <v>275.10000000000002</v>
      </c>
      <c r="J72" s="5">
        <v>27234.8999999999</v>
      </c>
      <c r="K72" s="7">
        <v>13755</v>
      </c>
      <c r="L72" s="5">
        <v>13479.8999999999</v>
      </c>
      <c r="M72" s="1">
        <v>41821</v>
      </c>
      <c r="N72">
        <v>7</v>
      </c>
      <c r="O72" t="s">
        <v>24</v>
      </c>
      <c r="P72" t="s">
        <v>12</v>
      </c>
      <c r="Q72" s="5">
        <f>tbl_financials[[#This Row],[Net_Sales]]</f>
        <v>27234.8999999999</v>
      </c>
      <c r="R72" s="5">
        <f>ROUND(tbl_financials[[#This Row],[Revenue]]*(0.12+MOD(ROW(),7)/100),2)</f>
        <v>3812.89</v>
      </c>
      <c r="S72" s="7">
        <f t="shared" si="1"/>
        <v>3232</v>
      </c>
      <c r="T72" s="5">
        <f>tbl_financials[[#This Row],[Gross_Profit]]-tbl_financials[[#This Row],[Operating_Expenses]]+tbl_financials[[#This Row],[Other_Income]]</f>
        <v>12899.0099999999</v>
      </c>
      <c r="U72" s="11">
        <f>IF(tbl_financials[[#This Row],[Revenue]]=0,0,tbl_financials[[#This Row],[Net_Profit]]/tbl_financials[[#This Row],[Revenue]])</f>
        <v>0.47362061178854881</v>
      </c>
      <c r="V72" s="11" t="str">
        <f>tbl_financials[[#This Row],[Month_Name]] &amp; "_" &amp; tbl_financials[[#This Row],[Year]]</f>
        <v>July_2014</v>
      </c>
      <c r="W72" s="11" t="str">
        <f>tbl_financials[[#This Row],[Month_Name]] &amp; "_" &amp; (tbl_financials[[#This Row],[Year]]-1)</f>
        <v>July_2013</v>
      </c>
      <c r="X7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73" spans="1:24" x14ac:dyDescent="0.3">
      <c r="A73" t="s">
        <v>7</v>
      </c>
      <c r="B73" t="s">
        <v>13</v>
      </c>
      <c r="C73" t="s">
        <v>33</v>
      </c>
      <c r="D73" t="s">
        <v>39</v>
      </c>
      <c r="E73" s="9">
        <v>1830</v>
      </c>
      <c r="F73" s="7">
        <v>5</v>
      </c>
      <c r="G73" s="7">
        <v>7</v>
      </c>
      <c r="H73" s="7">
        <v>12810</v>
      </c>
      <c r="I73" s="5">
        <v>128.1</v>
      </c>
      <c r="J73" s="5">
        <v>12681.9</v>
      </c>
      <c r="K73" s="7">
        <v>9150</v>
      </c>
      <c r="L73" s="5">
        <v>3531.8999999999901</v>
      </c>
      <c r="M73" s="1">
        <v>41852</v>
      </c>
      <c r="N73">
        <v>8</v>
      </c>
      <c r="O73" t="s">
        <v>25</v>
      </c>
      <c r="P73" t="s">
        <v>12</v>
      </c>
      <c r="Q73" s="5">
        <f>tbl_financials[[#This Row],[Net_Sales]]</f>
        <v>12681.9</v>
      </c>
      <c r="R73" s="5">
        <f>ROUND(tbl_financials[[#This Row],[Revenue]]*(0.12+MOD(ROW(),7)/100),2)</f>
        <v>1902.29</v>
      </c>
      <c r="S73" s="7">
        <f t="shared" si="1"/>
        <v>3263</v>
      </c>
      <c r="T73" s="5">
        <f>tbl_financials[[#This Row],[Gross_Profit]]-tbl_financials[[#This Row],[Operating_Expenses]]+tbl_financials[[#This Row],[Other_Income]]</f>
        <v>4892.6099999999897</v>
      </c>
      <c r="U73" s="11">
        <f>IF(tbl_financials[[#This Row],[Revenue]]=0,0,tbl_financials[[#This Row],[Net_Profit]]/tbl_financials[[#This Row],[Revenue]])</f>
        <v>0.38579471530291121</v>
      </c>
      <c r="V73" s="11" t="str">
        <f>tbl_financials[[#This Row],[Month_Name]] &amp; "_" &amp; tbl_financials[[#This Row],[Year]]</f>
        <v>August_2014</v>
      </c>
      <c r="W73" s="11" t="str">
        <f>tbl_financials[[#This Row],[Month_Name]] &amp; "_" &amp; (tbl_financials[[#This Row],[Year]]-1)</f>
        <v>August_2013</v>
      </c>
      <c r="X7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74" spans="1:24" x14ac:dyDescent="0.3">
      <c r="A74" t="s">
        <v>4</v>
      </c>
      <c r="B74" t="s">
        <v>14</v>
      </c>
      <c r="C74" t="s">
        <v>33</v>
      </c>
      <c r="D74" t="s">
        <v>39</v>
      </c>
      <c r="E74" s="9">
        <v>2498</v>
      </c>
      <c r="F74" s="7">
        <v>5</v>
      </c>
      <c r="G74" s="7">
        <v>300</v>
      </c>
      <c r="H74" s="7">
        <v>749400</v>
      </c>
      <c r="I74" s="5">
        <v>7494</v>
      </c>
      <c r="J74" s="5">
        <v>741906</v>
      </c>
      <c r="K74" s="7">
        <v>624500</v>
      </c>
      <c r="L74" s="5">
        <v>117406</v>
      </c>
      <c r="M74" s="1">
        <v>41518</v>
      </c>
      <c r="N74">
        <v>9</v>
      </c>
      <c r="O74" t="s">
        <v>26</v>
      </c>
      <c r="P74" t="s">
        <v>11</v>
      </c>
      <c r="Q74" s="5">
        <f>tbl_financials[[#This Row],[Net_Sales]]</f>
        <v>741906</v>
      </c>
      <c r="R74" s="5">
        <f>ROUND(tbl_financials[[#This Row],[Revenue]]*(0.12+MOD(ROW(),7)/100),2)</f>
        <v>118704.96000000001</v>
      </c>
      <c r="S74" s="7">
        <f t="shared" si="1"/>
        <v>3294</v>
      </c>
      <c r="T74" s="5">
        <f>tbl_financials[[#This Row],[Gross_Profit]]-tbl_financials[[#This Row],[Operating_Expenses]]+tbl_financials[[#This Row],[Other_Income]]</f>
        <v>1995.0399999999936</v>
      </c>
      <c r="U74" s="11">
        <f>IF(tbl_financials[[#This Row],[Revenue]]=0,0,tbl_financials[[#This Row],[Net_Profit]]/tbl_financials[[#This Row],[Revenue]])</f>
        <v>2.689073817976932E-3</v>
      </c>
      <c r="V74" s="11" t="str">
        <f>tbl_financials[[#This Row],[Month_Name]] &amp; "_" &amp; tbl_financials[[#This Row],[Year]]</f>
        <v>September_2013</v>
      </c>
      <c r="W74" s="11" t="str">
        <f>tbl_financials[[#This Row],[Month_Name]] &amp; "_" &amp; (tbl_financials[[#This Row],[Year]]-1)</f>
        <v>September_2012</v>
      </c>
      <c r="X7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75" spans="1:24" x14ac:dyDescent="0.3">
      <c r="A75" t="s">
        <v>6</v>
      </c>
      <c r="B75" t="s">
        <v>14</v>
      </c>
      <c r="C75" t="s">
        <v>33</v>
      </c>
      <c r="D75" t="s">
        <v>39</v>
      </c>
      <c r="E75" s="9">
        <v>663</v>
      </c>
      <c r="F75" s="7">
        <v>5</v>
      </c>
      <c r="G75" s="7">
        <v>125</v>
      </c>
      <c r="H75" s="7">
        <v>82875</v>
      </c>
      <c r="I75" s="5">
        <v>828.75</v>
      </c>
      <c r="J75" s="5">
        <v>82046.25</v>
      </c>
      <c r="K75" s="7">
        <v>79560</v>
      </c>
      <c r="L75" s="5">
        <v>2486.25</v>
      </c>
      <c r="M75" s="1">
        <v>41548</v>
      </c>
      <c r="N75">
        <v>10</v>
      </c>
      <c r="O75" t="s">
        <v>27</v>
      </c>
      <c r="P75" t="s">
        <v>11</v>
      </c>
      <c r="Q75" s="5">
        <f>tbl_financials[[#This Row],[Net_Sales]]</f>
        <v>82046.25</v>
      </c>
      <c r="R75" s="5">
        <f>ROUND(tbl_financials[[#This Row],[Revenue]]*(0.12+MOD(ROW(),7)/100),2)</f>
        <v>13947.86</v>
      </c>
      <c r="S75" s="7">
        <f t="shared" si="1"/>
        <v>3325</v>
      </c>
      <c r="T75" s="5">
        <f>tbl_financials[[#This Row],[Gross_Profit]]-tbl_financials[[#This Row],[Operating_Expenses]]+tbl_financials[[#This Row],[Other_Income]]</f>
        <v>-8136.6100000000006</v>
      </c>
      <c r="U75" s="11">
        <f>IF(tbl_financials[[#This Row],[Revenue]]=0,0,tbl_financials[[#This Row],[Net_Profit]]/tbl_financials[[#This Row],[Revenue]])</f>
        <v>-9.9171016347486943E-2</v>
      </c>
      <c r="V75" s="11" t="str">
        <f>tbl_financials[[#This Row],[Month_Name]] &amp; "_" &amp; tbl_financials[[#This Row],[Year]]</f>
        <v>October_2013</v>
      </c>
      <c r="W75" s="11" t="str">
        <f>tbl_financials[[#This Row],[Month_Name]] &amp; "_" &amp; (tbl_financials[[#This Row],[Year]]-1)</f>
        <v>October_2012</v>
      </c>
      <c r="X7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76" spans="1:24" x14ac:dyDescent="0.3">
      <c r="A76" t="s">
        <v>5</v>
      </c>
      <c r="B76" t="s">
        <v>14</v>
      </c>
      <c r="C76" t="s">
        <v>34</v>
      </c>
      <c r="D76" t="s">
        <v>39</v>
      </c>
      <c r="E76" s="9">
        <v>1514</v>
      </c>
      <c r="F76" s="7">
        <v>10</v>
      </c>
      <c r="G76" s="7">
        <v>15</v>
      </c>
      <c r="H76" s="7">
        <v>22710</v>
      </c>
      <c r="I76" s="5">
        <v>227.1</v>
      </c>
      <c r="J76" s="5">
        <v>22482.9</v>
      </c>
      <c r="K76" s="7">
        <v>15140</v>
      </c>
      <c r="L76" s="5">
        <v>7342.9</v>
      </c>
      <c r="M76" s="1">
        <v>41671</v>
      </c>
      <c r="N76">
        <v>2</v>
      </c>
      <c r="O76" t="s">
        <v>19</v>
      </c>
      <c r="P76" t="s">
        <v>12</v>
      </c>
      <c r="Q76" s="5">
        <f>tbl_financials[[#This Row],[Net_Sales]]</f>
        <v>22482.9</v>
      </c>
      <c r="R76" s="5">
        <f>ROUND(tbl_financials[[#This Row],[Revenue]]*(0.12+MOD(ROW(),7)/100),2)</f>
        <v>4046.92</v>
      </c>
      <c r="S76" s="7">
        <f t="shared" si="1"/>
        <v>3356</v>
      </c>
      <c r="T76" s="5">
        <f>tbl_financials[[#This Row],[Gross_Profit]]-tbl_financials[[#This Row],[Operating_Expenses]]+tbl_financials[[#This Row],[Other_Income]]</f>
        <v>6651.98</v>
      </c>
      <c r="U76" s="11">
        <f>IF(tbl_financials[[#This Row],[Revenue]]=0,0,tbl_financials[[#This Row],[Net_Profit]]/tbl_financials[[#This Row],[Revenue]])</f>
        <v>0.29586841555137455</v>
      </c>
      <c r="V76" s="11" t="str">
        <f>tbl_financials[[#This Row],[Month_Name]] &amp; "_" &amp; tbl_financials[[#This Row],[Year]]</f>
        <v>February_2014</v>
      </c>
      <c r="W76" s="11" t="str">
        <f>tbl_financials[[#This Row],[Month_Name]] &amp; "_" &amp; (tbl_financials[[#This Row],[Year]]-1)</f>
        <v>February_2013</v>
      </c>
      <c r="X7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77" spans="1:24" x14ac:dyDescent="0.3">
      <c r="A77" t="s">
        <v>7</v>
      </c>
      <c r="B77" t="s">
        <v>14</v>
      </c>
      <c r="C77" t="s">
        <v>34</v>
      </c>
      <c r="D77" t="s">
        <v>39</v>
      </c>
      <c r="E77" s="9">
        <v>4492.5</v>
      </c>
      <c r="F77" s="7">
        <v>10</v>
      </c>
      <c r="G77" s="7">
        <v>7</v>
      </c>
      <c r="H77" s="7">
        <v>31447.5</v>
      </c>
      <c r="I77" s="5">
        <v>314.47500000000002</v>
      </c>
      <c r="J77" s="5">
        <v>31133.0249999999</v>
      </c>
      <c r="K77" s="7">
        <v>22462.5</v>
      </c>
      <c r="L77" s="5">
        <v>8670.5249999999905</v>
      </c>
      <c r="M77" s="1">
        <v>41730</v>
      </c>
      <c r="N77">
        <v>4</v>
      </c>
      <c r="O77" t="s">
        <v>21</v>
      </c>
      <c r="P77" t="s">
        <v>12</v>
      </c>
      <c r="Q77" s="5">
        <f>tbl_financials[[#This Row],[Net_Sales]]</f>
        <v>31133.0249999999</v>
      </c>
      <c r="R77" s="5">
        <f>ROUND(tbl_financials[[#This Row],[Revenue]]*(0.12+MOD(ROW(),7)/100),2)</f>
        <v>3735.96</v>
      </c>
      <c r="S77" s="7">
        <f t="shared" si="1"/>
        <v>3387</v>
      </c>
      <c r="T77" s="5">
        <f>tbl_financials[[#This Row],[Gross_Profit]]-tbl_financials[[#This Row],[Operating_Expenses]]+tbl_financials[[#This Row],[Other_Income]]</f>
        <v>8321.5649999999914</v>
      </c>
      <c r="U77" s="11">
        <f>IF(tbl_financials[[#This Row],[Revenue]]=0,0,tbl_financials[[#This Row],[Net_Profit]]/tbl_financials[[#This Row],[Revenue]])</f>
        <v>0.26729060218208855</v>
      </c>
      <c r="V77" s="11" t="str">
        <f>tbl_financials[[#This Row],[Month_Name]] &amp; "_" &amp; tbl_financials[[#This Row],[Year]]</f>
        <v>April_2014</v>
      </c>
      <c r="W77" s="11" t="str">
        <f>tbl_financials[[#This Row],[Month_Name]] &amp; "_" &amp; (tbl_financials[[#This Row],[Year]]-1)</f>
        <v>April_2013</v>
      </c>
      <c r="X7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78" spans="1:24" x14ac:dyDescent="0.3">
      <c r="A78" t="s">
        <v>6</v>
      </c>
      <c r="B78" t="s">
        <v>14</v>
      </c>
      <c r="C78" t="s">
        <v>34</v>
      </c>
      <c r="D78" t="s">
        <v>39</v>
      </c>
      <c r="E78" s="9">
        <v>727</v>
      </c>
      <c r="F78" s="7">
        <v>10</v>
      </c>
      <c r="G78" s="7">
        <v>125</v>
      </c>
      <c r="H78" s="7">
        <v>90875</v>
      </c>
      <c r="I78" s="5">
        <v>908.75</v>
      </c>
      <c r="J78" s="5">
        <v>89966.25</v>
      </c>
      <c r="K78" s="7">
        <v>87240</v>
      </c>
      <c r="L78" s="5">
        <v>2726.25</v>
      </c>
      <c r="M78" s="1">
        <v>41791</v>
      </c>
      <c r="N78">
        <v>6</v>
      </c>
      <c r="O78" t="s">
        <v>23</v>
      </c>
      <c r="P78" t="s">
        <v>12</v>
      </c>
      <c r="Q78" s="5">
        <f>tbl_financials[[#This Row],[Net_Sales]]</f>
        <v>89966.25</v>
      </c>
      <c r="R78" s="5">
        <f>ROUND(tbl_financials[[#This Row],[Revenue]]*(0.12+MOD(ROW(),7)/100),2)</f>
        <v>11695.61</v>
      </c>
      <c r="S78" s="7">
        <f t="shared" si="1"/>
        <v>3418</v>
      </c>
      <c r="T78" s="5">
        <f>tbl_financials[[#This Row],[Gross_Profit]]-tbl_financials[[#This Row],[Operating_Expenses]]+tbl_financials[[#This Row],[Other_Income]]</f>
        <v>-5551.3600000000006</v>
      </c>
      <c r="U78" s="11">
        <f>IF(tbl_financials[[#This Row],[Revenue]]=0,0,tbl_financials[[#This Row],[Net_Profit]]/tbl_financials[[#This Row],[Revenue]])</f>
        <v>-6.170491712169842E-2</v>
      </c>
      <c r="V78" s="11" t="str">
        <f>tbl_financials[[#This Row],[Month_Name]] &amp; "_" &amp; tbl_financials[[#This Row],[Year]]</f>
        <v>June_2014</v>
      </c>
      <c r="W78" s="11" t="str">
        <f>tbl_financials[[#This Row],[Month_Name]] &amp; "_" &amp; (tbl_financials[[#This Row],[Year]]-1)</f>
        <v>June_2013</v>
      </c>
      <c r="X7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79" spans="1:24" x14ac:dyDescent="0.3">
      <c r="A79" t="s">
        <v>6</v>
      </c>
      <c r="B79" t="s">
        <v>15</v>
      </c>
      <c r="C79" t="s">
        <v>34</v>
      </c>
      <c r="D79" t="s">
        <v>39</v>
      </c>
      <c r="E79" s="9">
        <v>787</v>
      </c>
      <c r="F79" s="7">
        <v>10</v>
      </c>
      <c r="G79" s="7">
        <v>125</v>
      </c>
      <c r="H79" s="7">
        <v>98375</v>
      </c>
      <c r="I79" s="5">
        <v>983.75</v>
      </c>
      <c r="J79" s="5">
        <v>97391.25</v>
      </c>
      <c r="K79" s="7">
        <v>94440</v>
      </c>
      <c r="L79" s="5">
        <v>2951.25</v>
      </c>
      <c r="M79" s="1">
        <v>41791</v>
      </c>
      <c r="N79">
        <v>6</v>
      </c>
      <c r="O79" t="s">
        <v>23</v>
      </c>
      <c r="P79" t="s">
        <v>12</v>
      </c>
      <c r="Q79" s="5">
        <f>tbl_financials[[#This Row],[Net_Sales]]</f>
        <v>97391.25</v>
      </c>
      <c r="R79" s="5">
        <f>ROUND(tbl_financials[[#This Row],[Revenue]]*(0.12+MOD(ROW(),7)/100),2)</f>
        <v>13634.78</v>
      </c>
      <c r="S79" s="7">
        <f t="shared" si="1"/>
        <v>3449</v>
      </c>
      <c r="T79" s="5">
        <f>tbl_financials[[#This Row],[Gross_Profit]]-tbl_financials[[#This Row],[Operating_Expenses]]+tbl_financials[[#This Row],[Other_Income]]</f>
        <v>-7234.5300000000007</v>
      </c>
      <c r="U79" s="11">
        <f>IF(tbl_financials[[#This Row],[Revenue]]=0,0,tbl_financials[[#This Row],[Net_Profit]]/tbl_financials[[#This Row],[Revenue]])</f>
        <v>-7.4283161988371649E-2</v>
      </c>
      <c r="V79" s="11" t="str">
        <f>tbl_financials[[#This Row],[Month_Name]] &amp; "_" &amp; tbl_financials[[#This Row],[Year]]</f>
        <v>June_2014</v>
      </c>
      <c r="W79" s="11" t="str">
        <f>tbl_financials[[#This Row],[Month_Name]] &amp; "_" &amp; (tbl_financials[[#This Row],[Year]]-1)</f>
        <v>June_2013</v>
      </c>
      <c r="X7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80" spans="1:24" x14ac:dyDescent="0.3">
      <c r="A80" t="s">
        <v>6</v>
      </c>
      <c r="B80" t="s">
        <v>17</v>
      </c>
      <c r="C80" t="s">
        <v>34</v>
      </c>
      <c r="D80" t="s">
        <v>39</v>
      </c>
      <c r="E80" s="9">
        <v>1823</v>
      </c>
      <c r="F80" s="7">
        <v>10</v>
      </c>
      <c r="G80" s="7">
        <v>125</v>
      </c>
      <c r="H80" s="7">
        <v>227875</v>
      </c>
      <c r="I80" s="5">
        <v>2278.75</v>
      </c>
      <c r="J80" s="5">
        <v>225596.25</v>
      </c>
      <c r="K80" s="7">
        <v>218760</v>
      </c>
      <c r="L80" s="5">
        <v>6836.25</v>
      </c>
      <c r="M80" s="1">
        <v>41821</v>
      </c>
      <c r="N80">
        <v>7</v>
      </c>
      <c r="O80" t="s">
        <v>24</v>
      </c>
      <c r="P80" t="s">
        <v>12</v>
      </c>
      <c r="Q80" s="5">
        <f>tbl_financials[[#This Row],[Net_Sales]]</f>
        <v>225596.25</v>
      </c>
      <c r="R80" s="5">
        <f>ROUND(tbl_financials[[#This Row],[Revenue]]*(0.12+MOD(ROW(),7)/100),2)</f>
        <v>33839.440000000002</v>
      </c>
      <c r="S80" s="7">
        <f t="shared" si="1"/>
        <v>3480</v>
      </c>
      <c r="T80" s="5">
        <f>tbl_financials[[#This Row],[Gross_Profit]]-tbl_financials[[#This Row],[Operating_Expenses]]+tbl_financials[[#This Row],[Other_Income]]</f>
        <v>-23523.190000000002</v>
      </c>
      <c r="U80" s="11">
        <f>IF(tbl_financials[[#This Row],[Revenue]]=0,0,tbl_financials[[#This Row],[Net_Profit]]/tbl_financials[[#This Row],[Revenue]])</f>
        <v>-0.10427119245111567</v>
      </c>
      <c r="V80" s="11" t="str">
        <f>tbl_financials[[#This Row],[Month_Name]] &amp; "_" &amp; tbl_financials[[#This Row],[Year]]</f>
        <v>July_2014</v>
      </c>
      <c r="W80" s="11" t="str">
        <f>tbl_financials[[#This Row],[Month_Name]] &amp; "_" &amp; (tbl_financials[[#This Row],[Year]]-1)</f>
        <v>July_2013</v>
      </c>
      <c r="X8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81" spans="1:24" x14ac:dyDescent="0.3">
      <c r="A81" t="s">
        <v>5</v>
      </c>
      <c r="B81" t="s">
        <v>16</v>
      </c>
      <c r="C81" t="s">
        <v>34</v>
      </c>
      <c r="D81" t="s">
        <v>39</v>
      </c>
      <c r="E81" s="9">
        <v>747</v>
      </c>
      <c r="F81" s="7">
        <v>10</v>
      </c>
      <c r="G81" s="7">
        <v>15</v>
      </c>
      <c r="H81" s="7">
        <v>11205</v>
      </c>
      <c r="I81" s="5">
        <v>112.05</v>
      </c>
      <c r="J81" s="5">
        <v>11092.95</v>
      </c>
      <c r="K81" s="7">
        <v>7470</v>
      </c>
      <c r="L81" s="5">
        <v>3622.95</v>
      </c>
      <c r="M81" s="1">
        <v>41883</v>
      </c>
      <c r="N81">
        <v>9</v>
      </c>
      <c r="O81" t="s">
        <v>26</v>
      </c>
      <c r="P81" t="s">
        <v>12</v>
      </c>
      <c r="Q81" s="5">
        <f>tbl_financials[[#This Row],[Net_Sales]]</f>
        <v>11092.95</v>
      </c>
      <c r="R81" s="5">
        <f>ROUND(tbl_financials[[#This Row],[Revenue]]*(0.12+MOD(ROW(),7)/100),2)</f>
        <v>1774.87</v>
      </c>
      <c r="S81" s="7">
        <f t="shared" si="1"/>
        <v>3511</v>
      </c>
      <c r="T81" s="5">
        <f>tbl_financials[[#This Row],[Gross_Profit]]-tbl_financials[[#This Row],[Operating_Expenses]]+tbl_financials[[#This Row],[Other_Income]]</f>
        <v>5359.08</v>
      </c>
      <c r="U81" s="11">
        <f>IF(tbl_financials[[#This Row],[Revenue]]=0,0,tbl_financials[[#This Row],[Net_Profit]]/tbl_financials[[#This Row],[Revenue]])</f>
        <v>0.4831068381269184</v>
      </c>
      <c r="V81" s="11" t="str">
        <f>tbl_financials[[#This Row],[Month_Name]] &amp; "_" &amp; tbl_financials[[#This Row],[Year]]</f>
        <v>September_2014</v>
      </c>
      <c r="W81" s="11" t="str">
        <f>tbl_financials[[#This Row],[Month_Name]] &amp; "_" &amp; (tbl_financials[[#This Row],[Year]]-1)</f>
        <v>September_2013</v>
      </c>
      <c r="X8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0.34704918032786897</v>
      </c>
    </row>
    <row r="82" spans="1:24" x14ac:dyDescent="0.3">
      <c r="A82" t="s">
        <v>8</v>
      </c>
      <c r="B82" t="s">
        <v>16</v>
      </c>
      <c r="C82" t="s">
        <v>34</v>
      </c>
      <c r="D82" t="s">
        <v>39</v>
      </c>
      <c r="E82" s="9">
        <v>766</v>
      </c>
      <c r="F82" s="7">
        <v>10</v>
      </c>
      <c r="G82" s="7">
        <v>12</v>
      </c>
      <c r="H82" s="7">
        <v>9192</v>
      </c>
      <c r="I82" s="5">
        <v>91.92</v>
      </c>
      <c r="J82" s="5">
        <v>9100.08</v>
      </c>
      <c r="K82" s="7">
        <v>2298</v>
      </c>
      <c r="L82" s="5">
        <v>6802.08</v>
      </c>
      <c r="M82" s="1">
        <v>41548</v>
      </c>
      <c r="N82">
        <v>10</v>
      </c>
      <c r="O82" t="s">
        <v>27</v>
      </c>
      <c r="P82" t="s">
        <v>11</v>
      </c>
      <c r="Q82" s="5">
        <f>tbl_financials[[#This Row],[Net_Sales]]</f>
        <v>9100.08</v>
      </c>
      <c r="R82" s="5">
        <f>ROUND(tbl_financials[[#This Row],[Revenue]]*(0.12+MOD(ROW(),7)/100),2)</f>
        <v>1547.01</v>
      </c>
      <c r="S82" s="7">
        <f t="shared" si="1"/>
        <v>3542</v>
      </c>
      <c r="T82" s="5">
        <f>tbl_financials[[#This Row],[Gross_Profit]]-tbl_financials[[#This Row],[Operating_Expenses]]+tbl_financials[[#This Row],[Other_Income]]</f>
        <v>8797.07</v>
      </c>
      <c r="U82" s="11">
        <f>IF(tbl_financials[[#This Row],[Revenue]]=0,0,tbl_financials[[#This Row],[Net_Profit]]/tbl_financials[[#This Row],[Revenue]])</f>
        <v>0.96670249052755575</v>
      </c>
      <c r="V82" s="11" t="str">
        <f>tbl_financials[[#This Row],[Month_Name]] &amp; "_" &amp; tbl_financials[[#This Row],[Year]]</f>
        <v>October_2013</v>
      </c>
      <c r="W82" s="11" t="str">
        <f>tbl_financials[[#This Row],[Month_Name]] &amp; "_" &amp; (tbl_financials[[#This Row],[Year]]-1)</f>
        <v>October_2012</v>
      </c>
      <c r="X8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83" spans="1:24" x14ac:dyDescent="0.3">
      <c r="A83" t="s">
        <v>4</v>
      </c>
      <c r="B83" t="s">
        <v>14</v>
      </c>
      <c r="C83" t="s">
        <v>34</v>
      </c>
      <c r="D83" t="s">
        <v>39</v>
      </c>
      <c r="E83" s="9">
        <v>2905</v>
      </c>
      <c r="F83" s="7">
        <v>10</v>
      </c>
      <c r="G83" s="7">
        <v>300</v>
      </c>
      <c r="H83" s="7">
        <v>871500</v>
      </c>
      <c r="I83" s="5">
        <v>8715</v>
      </c>
      <c r="J83" s="5">
        <v>862785</v>
      </c>
      <c r="K83" s="7">
        <v>726250</v>
      </c>
      <c r="L83" s="5">
        <v>136535</v>
      </c>
      <c r="M83" s="1">
        <v>41944</v>
      </c>
      <c r="N83">
        <v>11</v>
      </c>
      <c r="O83" t="s">
        <v>28</v>
      </c>
      <c r="P83" t="s">
        <v>12</v>
      </c>
      <c r="Q83" s="5">
        <f>tbl_financials[[#This Row],[Net_Sales]]</f>
        <v>862785</v>
      </c>
      <c r="R83" s="5">
        <f>ROUND(tbl_financials[[#This Row],[Revenue]]*(0.12+MOD(ROW(),7)/100),2)</f>
        <v>155301.29999999999</v>
      </c>
      <c r="S83" s="7">
        <f t="shared" si="1"/>
        <v>3573</v>
      </c>
      <c r="T83" s="5">
        <f>tbl_financials[[#This Row],[Gross_Profit]]-tbl_financials[[#This Row],[Operating_Expenses]]+tbl_financials[[#This Row],[Other_Income]]</f>
        <v>-15193.299999999988</v>
      </c>
      <c r="U83" s="11">
        <f>IF(tbl_financials[[#This Row],[Revenue]]=0,0,tbl_financials[[#This Row],[Net_Profit]]/tbl_financials[[#This Row],[Revenue]])</f>
        <v>-1.7609601465023137E-2</v>
      </c>
      <c r="V83" s="11" t="str">
        <f>tbl_financials[[#This Row],[Month_Name]] &amp; "_" &amp; tbl_financials[[#This Row],[Year]]</f>
        <v>November_2014</v>
      </c>
      <c r="W83" s="11" t="str">
        <f>tbl_financials[[#This Row],[Month_Name]] &amp; "_" &amp; (tbl_financials[[#This Row],[Year]]-1)</f>
        <v>November_2013</v>
      </c>
      <c r="X8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0.42904347826086958</v>
      </c>
    </row>
    <row r="84" spans="1:24" x14ac:dyDescent="0.3">
      <c r="A84" t="s">
        <v>7</v>
      </c>
      <c r="B84" t="s">
        <v>15</v>
      </c>
      <c r="C84" t="s">
        <v>34</v>
      </c>
      <c r="D84" t="s">
        <v>39</v>
      </c>
      <c r="E84" s="9">
        <v>2155</v>
      </c>
      <c r="F84" s="7">
        <v>10</v>
      </c>
      <c r="G84" s="7">
        <v>350</v>
      </c>
      <c r="H84" s="7">
        <v>754250</v>
      </c>
      <c r="I84" s="5">
        <v>7542.5</v>
      </c>
      <c r="J84" s="5">
        <v>746707.5</v>
      </c>
      <c r="K84" s="7">
        <v>560300</v>
      </c>
      <c r="L84" s="5">
        <v>186407.5</v>
      </c>
      <c r="M84" s="1">
        <v>41974</v>
      </c>
      <c r="N84">
        <v>12</v>
      </c>
      <c r="O84" t="s">
        <v>29</v>
      </c>
      <c r="P84" t="s">
        <v>12</v>
      </c>
      <c r="Q84" s="5">
        <f>tbl_financials[[#This Row],[Net_Sales]]</f>
        <v>746707.5</v>
      </c>
      <c r="R84" s="5">
        <f>ROUND(tbl_financials[[#This Row],[Revenue]]*(0.12+MOD(ROW(),7)/100),2)</f>
        <v>89604.9</v>
      </c>
      <c r="S84" s="7">
        <f t="shared" si="1"/>
        <v>3604</v>
      </c>
      <c r="T84" s="5">
        <f>tbl_financials[[#This Row],[Gross_Profit]]-tbl_financials[[#This Row],[Operating_Expenses]]+tbl_financials[[#This Row],[Other_Income]]</f>
        <v>100406.6</v>
      </c>
      <c r="U84" s="11">
        <f>IF(tbl_financials[[#This Row],[Revenue]]=0,0,tbl_financials[[#This Row],[Net_Profit]]/tbl_financials[[#This Row],[Revenue]])</f>
        <v>0.13446577140312641</v>
      </c>
      <c r="V84" s="11" t="str">
        <f>tbl_financials[[#This Row],[Month_Name]] &amp; "_" &amp; tbl_financials[[#This Row],[Year]]</f>
        <v>December_2014</v>
      </c>
      <c r="W84" s="11" t="str">
        <f>tbl_financials[[#This Row],[Month_Name]] &amp; "_" &amp; (tbl_financials[[#This Row],[Year]]-1)</f>
        <v>December_2013</v>
      </c>
      <c r="X8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22.132202602230482</v>
      </c>
    </row>
    <row r="85" spans="1:24" x14ac:dyDescent="0.3">
      <c r="A85" t="s">
        <v>7</v>
      </c>
      <c r="B85" t="s">
        <v>15</v>
      </c>
      <c r="C85" t="s">
        <v>35</v>
      </c>
      <c r="D85" t="s">
        <v>39</v>
      </c>
      <c r="E85" s="9">
        <v>3864</v>
      </c>
      <c r="F85" s="7">
        <v>120</v>
      </c>
      <c r="G85" s="7">
        <v>20</v>
      </c>
      <c r="H85" s="7">
        <v>77280</v>
      </c>
      <c r="I85" s="5">
        <v>772.8</v>
      </c>
      <c r="J85" s="5">
        <v>76507.199999999997</v>
      </c>
      <c r="K85" s="7">
        <v>38640</v>
      </c>
      <c r="L85" s="5">
        <v>37867.199999999997</v>
      </c>
      <c r="M85" s="1">
        <v>41730</v>
      </c>
      <c r="N85">
        <v>4</v>
      </c>
      <c r="O85" t="s">
        <v>21</v>
      </c>
      <c r="P85" t="s">
        <v>12</v>
      </c>
      <c r="Q85" s="5">
        <f>tbl_financials[[#This Row],[Net_Sales]]</f>
        <v>76507.199999999997</v>
      </c>
      <c r="R85" s="5">
        <f>ROUND(tbl_financials[[#This Row],[Revenue]]*(0.12+MOD(ROW(),7)/100),2)</f>
        <v>9945.94</v>
      </c>
      <c r="S85" s="7">
        <f t="shared" si="1"/>
        <v>3635</v>
      </c>
      <c r="T85" s="5">
        <f>tbl_financials[[#This Row],[Gross_Profit]]-tbl_financials[[#This Row],[Operating_Expenses]]+tbl_financials[[#This Row],[Other_Income]]</f>
        <v>31556.259999999995</v>
      </c>
      <c r="U85" s="11">
        <f>IF(tbl_financials[[#This Row],[Revenue]]=0,0,tbl_financials[[#This Row],[Net_Profit]]/tbl_financials[[#This Row],[Revenue]])</f>
        <v>0.412461310830876</v>
      </c>
      <c r="V85" s="11" t="str">
        <f>tbl_financials[[#This Row],[Month_Name]] &amp; "_" &amp; tbl_financials[[#This Row],[Year]]</f>
        <v>April_2014</v>
      </c>
      <c r="W85" s="11" t="str">
        <f>tbl_financials[[#This Row],[Month_Name]] &amp; "_" &amp; (tbl_financials[[#This Row],[Year]]-1)</f>
        <v>April_2013</v>
      </c>
      <c r="X8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86" spans="1:24" x14ac:dyDescent="0.3">
      <c r="A86" t="s">
        <v>7</v>
      </c>
      <c r="B86" t="s">
        <v>17</v>
      </c>
      <c r="C86" t="s">
        <v>35</v>
      </c>
      <c r="D86" t="s">
        <v>39</v>
      </c>
      <c r="E86" s="9">
        <v>362</v>
      </c>
      <c r="F86" s="7">
        <v>120</v>
      </c>
      <c r="G86" s="7">
        <v>7</v>
      </c>
      <c r="H86" s="7">
        <v>2534</v>
      </c>
      <c r="I86" s="5">
        <v>25.34</v>
      </c>
      <c r="J86" s="5">
        <v>2508.66</v>
      </c>
      <c r="K86" s="7">
        <v>1810</v>
      </c>
      <c r="L86" s="5">
        <v>698.65999999999894</v>
      </c>
      <c r="M86" s="1">
        <v>41760</v>
      </c>
      <c r="N86">
        <v>5</v>
      </c>
      <c r="O86" t="s">
        <v>22</v>
      </c>
      <c r="P86" t="s">
        <v>12</v>
      </c>
      <c r="Q86" s="5">
        <f>tbl_financials[[#This Row],[Net_Sales]]</f>
        <v>2508.66</v>
      </c>
      <c r="R86" s="5">
        <f>ROUND(tbl_financials[[#This Row],[Revenue]]*(0.12+MOD(ROW(),7)/100),2)</f>
        <v>351.21</v>
      </c>
      <c r="S86" s="7">
        <f t="shared" si="1"/>
        <v>3666</v>
      </c>
      <c r="T86" s="5">
        <f>tbl_financials[[#This Row],[Gross_Profit]]-tbl_financials[[#This Row],[Operating_Expenses]]+tbl_financials[[#This Row],[Other_Income]]</f>
        <v>4013.4499999999989</v>
      </c>
      <c r="U86" s="11">
        <f>IF(tbl_financials[[#This Row],[Revenue]]=0,0,tbl_financials[[#This Row],[Net_Profit]]/tbl_financials[[#This Row],[Revenue]])</f>
        <v>1.599838160611641</v>
      </c>
      <c r="V86" s="11" t="str">
        <f>tbl_financials[[#This Row],[Month_Name]] &amp; "_" &amp; tbl_financials[[#This Row],[Year]]</f>
        <v>May_2014</v>
      </c>
      <c r="W86" s="11" t="str">
        <f>tbl_financials[[#This Row],[Month_Name]] &amp; "_" &amp; (tbl_financials[[#This Row],[Year]]-1)</f>
        <v>May_2013</v>
      </c>
      <c r="X8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87" spans="1:24" x14ac:dyDescent="0.3">
      <c r="A87" t="s">
        <v>6</v>
      </c>
      <c r="B87" t="s">
        <v>13</v>
      </c>
      <c r="C87" t="s">
        <v>35</v>
      </c>
      <c r="D87" t="s">
        <v>39</v>
      </c>
      <c r="E87" s="9">
        <v>923</v>
      </c>
      <c r="F87" s="7">
        <v>120</v>
      </c>
      <c r="G87" s="7">
        <v>125</v>
      </c>
      <c r="H87" s="7">
        <v>115375</v>
      </c>
      <c r="I87" s="5">
        <v>1153.75</v>
      </c>
      <c r="J87" s="5">
        <v>114221.25</v>
      </c>
      <c r="K87" s="7">
        <v>110760</v>
      </c>
      <c r="L87" s="5">
        <v>3461.25</v>
      </c>
      <c r="M87" s="1">
        <v>41852</v>
      </c>
      <c r="N87">
        <v>8</v>
      </c>
      <c r="O87" t="s">
        <v>25</v>
      </c>
      <c r="P87" t="s">
        <v>12</v>
      </c>
      <c r="Q87" s="5">
        <f>tbl_financials[[#This Row],[Net_Sales]]</f>
        <v>114221.25</v>
      </c>
      <c r="R87" s="5">
        <f>ROUND(tbl_financials[[#This Row],[Revenue]]*(0.12+MOD(ROW(),7)/100),2)</f>
        <v>17133.189999999999</v>
      </c>
      <c r="S87" s="7">
        <f t="shared" si="1"/>
        <v>3697</v>
      </c>
      <c r="T87" s="5">
        <f>tbl_financials[[#This Row],[Gross_Profit]]-tbl_financials[[#This Row],[Operating_Expenses]]+tbl_financials[[#This Row],[Other_Income]]</f>
        <v>-9974.9399999999987</v>
      </c>
      <c r="U87" s="11">
        <f>IF(tbl_financials[[#This Row],[Revenue]]=0,0,tbl_financials[[#This Row],[Net_Profit]]/tbl_financials[[#This Row],[Revenue]])</f>
        <v>-8.7329984569421176E-2</v>
      </c>
      <c r="V87" s="11" t="str">
        <f>tbl_financials[[#This Row],[Month_Name]] &amp; "_" &amp; tbl_financials[[#This Row],[Year]]</f>
        <v>August_2014</v>
      </c>
      <c r="W87" s="11" t="str">
        <f>tbl_financials[[#This Row],[Month_Name]] &amp; "_" &amp; (tbl_financials[[#This Row],[Year]]-1)</f>
        <v>August_2013</v>
      </c>
      <c r="X8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88" spans="1:24" x14ac:dyDescent="0.3">
      <c r="A88" t="s">
        <v>6</v>
      </c>
      <c r="B88" t="s">
        <v>14</v>
      </c>
      <c r="C88" t="s">
        <v>35</v>
      </c>
      <c r="D88" t="s">
        <v>39</v>
      </c>
      <c r="E88" s="9">
        <v>663</v>
      </c>
      <c r="F88" s="7">
        <v>120</v>
      </c>
      <c r="G88" s="7">
        <v>125</v>
      </c>
      <c r="H88" s="7">
        <v>82875</v>
      </c>
      <c r="I88" s="5">
        <v>828.75</v>
      </c>
      <c r="J88" s="5">
        <v>82046.25</v>
      </c>
      <c r="K88" s="7">
        <v>79560</v>
      </c>
      <c r="L88" s="5">
        <v>2486.25</v>
      </c>
      <c r="M88" s="1">
        <v>41548</v>
      </c>
      <c r="N88">
        <v>10</v>
      </c>
      <c r="O88" t="s">
        <v>27</v>
      </c>
      <c r="P88" t="s">
        <v>11</v>
      </c>
      <c r="Q88" s="5">
        <f>tbl_financials[[#This Row],[Net_Sales]]</f>
        <v>82046.25</v>
      </c>
      <c r="R88" s="5">
        <f>ROUND(tbl_financials[[#This Row],[Revenue]]*(0.12+MOD(ROW(),7)/100),2)</f>
        <v>13127.4</v>
      </c>
      <c r="S88" s="7">
        <f t="shared" si="1"/>
        <v>3728</v>
      </c>
      <c r="T88" s="5">
        <f>tbl_financials[[#This Row],[Gross_Profit]]-tbl_financials[[#This Row],[Operating_Expenses]]+tbl_financials[[#This Row],[Other_Income]]</f>
        <v>-6913.15</v>
      </c>
      <c r="U88" s="11">
        <f>IF(tbl_financials[[#This Row],[Revenue]]=0,0,tbl_financials[[#This Row],[Net_Profit]]/tbl_financials[[#This Row],[Revenue]])</f>
        <v>-8.4259183082712491E-2</v>
      </c>
      <c r="V88" s="11" t="str">
        <f>tbl_financials[[#This Row],[Month_Name]] &amp; "_" &amp; tbl_financials[[#This Row],[Year]]</f>
        <v>October_2013</v>
      </c>
      <c r="W88" s="11" t="str">
        <f>tbl_financials[[#This Row],[Month_Name]] &amp; "_" &amp; (tbl_financials[[#This Row],[Year]]-1)</f>
        <v>October_2012</v>
      </c>
      <c r="X8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89" spans="1:24" x14ac:dyDescent="0.3">
      <c r="A89" t="s">
        <v>7</v>
      </c>
      <c r="B89" t="s">
        <v>13</v>
      </c>
      <c r="C89" t="s">
        <v>35</v>
      </c>
      <c r="D89" t="s">
        <v>39</v>
      </c>
      <c r="E89" s="9">
        <v>2092</v>
      </c>
      <c r="F89" s="7">
        <v>120</v>
      </c>
      <c r="G89" s="7">
        <v>7</v>
      </c>
      <c r="H89" s="7">
        <v>14644</v>
      </c>
      <c r="I89" s="5">
        <v>146.44</v>
      </c>
      <c r="J89" s="5">
        <v>14497.56</v>
      </c>
      <c r="K89" s="7">
        <v>10460</v>
      </c>
      <c r="L89" s="5">
        <v>4037.5599999999899</v>
      </c>
      <c r="M89" s="1">
        <v>41579</v>
      </c>
      <c r="N89">
        <v>11</v>
      </c>
      <c r="O89" t="s">
        <v>28</v>
      </c>
      <c r="P89" t="s">
        <v>11</v>
      </c>
      <c r="Q89" s="5">
        <f>tbl_financials[[#This Row],[Net_Sales]]</f>
        <v>14497.56</v>
      </c>
      <c r="R89" s="5">
        <f>ROUND(tbl_financials[[#This Row],[Revenue]]*(0.12+MOD(ROW(),7)/100),2)</f>
        <v>2464.59</v>
      </c>
      <c r="S89" s="7">
        <f t="shared" si="1"/>
        <v>3759</v>
      </c>
      <c r="T89" s="5">
        <f>tbl_financials[[#This Row],[Gross_Profit]]-tbl_financials[[#This Row],[Operating_Expenses]]+tbl_financials[[#This Row],[Other_Income]]</f>
        <v>5331.9699999999903</v>
      </c>
      <c r="U89" s="11">
        <f>IF(tbl_financials[[#This Row],[Revenue]]=0,0,tbl_financials[[#This Row],[Net_Profit]]/tbl_financials[[#This Row],[Revenue]])</f>
        <v>0.36778395812812575</v>
      </c>
      <c r="V89" s="11" t="str">
        <f>tbl_financials[[#This Row],[Month_Name]] &amp; "_" &amp; tbl_financials[[#This Row],[Year]]</f>
        <v>November_2013</v>
      </c>
      <c r="W89" s="11" t="str">
        <f>tbl_financials[[#This Row],[Month_Name]] &amp; "_" &amp; (tbl_financials[[#This Row],[Year]]-1)</f>
        <v>November_2012</v>
      </c>
      <c r="X8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90" spans="1:24" x14ac:dyDescent="0.3">
      <c r="A90" t="s">
        <v>7</v>
      </c>
      <c r="B90" t="s">
        <v>16</v>
      </c>
      <c r="C90" t="s">
        <v>36</v>
      </c>
      <c r="D90" t="s">
        <v>39</v>
      </c>
      <c r="E90" s="9">
        <v>263</v>
      </c>
      <c r="F90" s="7">
        <v>250</v>
      </c>
      <c r="G90" s="7">
        <v>7</v>
      </c>
      <c r="H90" s="7">
        <v>1841</v>
      </c>
      <c r="I90" s="5">
        <v>18.41</v>
      </c>
      <c r="J90" s="5">
        <v>1822.59</v>
      </c>
      <c r="K90" s="7">
        <v>1315</v>
      </c>
      <c r="L90" s="5">
        <v>507.58999999999901</v>
      </c>
      <c r="M90" s="1">
        <v>41699</v>
      </c>
      <c r="N90">
        <v>3</v>
      </c>
      <c r="O90" t="s">
        <v>20</v>
      </c>
      <c r="P90" t="s">
        <v>12</v>
      </c>
      <c r="Q90" s="5">
        <f>tbl_financials[[#This Row],[Net_Sales]]</f>
        <v>1822.59</v>
      </c>
      <c r="R90" s="5">
        <f>ROUND(tbl_financials[[#This Row],[Revenue]]*(0.12+MOD(ROW(),7)/100),2)</f>
        <v>328.07</v>
      </c>
      <c r="S90" s="7">
        <f t="shared" si="1"/>
        <v>3790</v>
      </c>
      <c r="T90" s="5">
        <f>tbl_financials[[#This Row],[Gross_Profit]]-tbl_financials[[#This Row],[Operating_Expenses]]+tbl_financials[[#This Row],[Other_Income]]</f>
        <v>3969.5199999999991</v>
      </c>
      <c r="U90" s="11">
        <f>IF(tbl_financials[[#This Row],[Revenue]]=0,0,tbl_financials[[#This Row],[Net_Profit]]/tbl_financials[[#This Row],[Revenue]])</f>
        <v>2.1779555467768392</v>
      </c>
      <c r="V90" s="11" t="str">
        <f>tbl_financials[[#This Row],[Month_Name]] &amp; "_" &amp; tbl_financials[[#This Row],[Year]]</f>
        <v>March_2014</v>
      </c>
      <c r="W90" s="11" t="str">
        <f>tbl_financials[[#This Row],[Month_Name]] &amp; "_" &amp; (tbl_financials[[#This Row],[Year]]-1)</f>
        <v>March_2013</v>
      </c>
      <c r="X9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91" spans="1:24" x14ac:dyDescent="0.3">
      <c r="A91" t="s">
        <v>7</v>
      </c>
      <c r="B91" t="s">
        <v>13</v>
      </c>
      <c r="C91" t="s">
        <v>36</v>
      </c>
      <c r="D91" t="s">
        <v>39</v>
      </c>
      <c r="E91" s="9">
        <v>943.5</v>
      </c>
      <c r="F91" s="7">
        <v>250</v>
      </c>
      <c r="G91" s="7">
        <v>350</v>
      </c>
      <c r="H91" s="7">
        <v>330225</v>
      </c>
      <c r="I91" s="5">
        <v>3302.25</v>
      </c>
      <c r="J91" s="5">
        <v>326922.75</v>
      </c>
      <c r="K91" s="7">
        <v>245310</v>
      </c>
      <c r="L91" s="5">
        <v>81612.75</v>
      </c>
      <c r="M91" s="1">
        <v>41730</v>
      </c>
      <c r="N91">
        <v>4</v>
      </c>
      <c r="O91" t="s">
        <v>21</v>
      </c>
      <c r="P91" t="s">
        <v>12</v>
      </c>
      <c r="Q91" s="5">
        <f>tbl_financials[[#This Row],[Net_Sales]]</f>
        <v>326922.75</v>
      </c>
      <c r="R91" s="5">
        <f>ROUND(tbl_financials[[#This Row],[Revenue]]*(0.12+MOD(ROW(),7)/100),2)</f>
        <v>39230.730000000003</v>
      </c>
      <c r="S91" s="7">
        <f t="shared" si="1"/>
        <v>3821</v>
      </c>
      <c r="T91" s="5">
        <f>tbl_financials[[#This Row],[Gross_Profit]]-tbl_financials[[#This Row],[Operating_Expenses]]+tbl_financials[[#This Row],[Other_Income]]</f>
        <v>46203.02</v>
      </c>
      <c r="U91" s="11">
        <f>IF(tbl_financials[[#This Row],[Revenue]]=0,0,tbl_financials[[#This Row],[Net_Profit]]/tbl_financials[[#This Row],[Revenue]])</f>
        <v>0.14132702603290836</v>
      </c>
      <c r="V91" s="11" t="str">
        <f>tbl_financials[[#This Row],[Month_Name]] &amp; "_" &amp; tbl_financials[[#This Row],[Year]]</f>
        <v>April_2014</v>
      </c>
      <c r="W91" s="11" t="str">
        <f>tbl_financials[[#This Row],[Month_Name]] &amp; "_" &amp; (tbl_financials[[#This Row],[Year]]-1)</f>
        <v>April_2013</v>
      </c>
      <c r="X9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92" spans="1:24" x14ac:dyDescent="0.3">
      <c r="A92" t="s">
        <v>6</v>
      </c>
      <c r="B92" t="s">
        <v>14</v>
      </c>
      <c r="C92" t="s">
        <v>36</v>
      </c>
      <c r="D92" t="s">
        <v>39</v>
      </c>
      <c r="E92" s="9">
        <v>727</v>
      </c>
      <c r="F92" s="7">
        <v>250</v>
      </c>
      <c r="G92" s="7">
        <v>125</v>
      </c>
      <c r="H92" s="7">
        <v>90875</v>
      </c>
      <c r="I92" s="5">
        <v>908.75</v>
      </c>
      <c r="J92" s="5">
        <v>89966.25</v>
      </c>
      <c r="K92" s="7">
        <v>87240</v>
      </c>
      <c r="L92" s="5">
        <v>2726.25</v>
      </c>
      <c r="M92" s="1">
        <v>41791</v>
      </c>
      <c r="N92">
        <v>6</v>
      </c>
      <c r="O92" t="s">
        <v>23</v>
      </c>
      <c r="P92" t="s">
        <v>12</v>
      </c>
      <c r="Q92" s="5">
        <f>tbl_financials[[#This Row],[Net_Sales]]</f>
        <v>89966.25</v>
      </c>
      <c r="R92" s="5">
        <f>ROUND(tbl_financials[[#This Row],[Revenue]]*(0.12+MOD(ROW(),7)/100),2)</f>
        <v>11695.61</v>
      </c>
      <c r="S92" s="7">
        <f t="shared" si="1"/>
        <v>3852</v>
      </c>
      <c r="T92" s="5">
        <f>tbl_financials[[#This Row],[Gross_Profit]]-tbl_financials[[#This Row],[Operating_Expenses]]+tbl_financials[[#This Row],[Other_Income]]</f>
        <v>-5117.3600000000006</v>
      </c>
      <c r="U92" s="11">
        <f>IF(tbl_financials[[#This Row],[Revenue]]=0,0,tbl_financials[[#This Row],[Net_Profit]]/tbl_financials[[#This Row],[Revenue]])</f>
        <v>-5.6880885887763473E-2</v>
      </c>
      <c r="V92" s="11" t="str">
        <f>tbl_financials[[#This Row],[Month_Name]] &amp; "_" &amp; tbl_financials[[#This Row],[Year]]</f>
        <v>June_2014</v>
      </c>
      <c r="W92" s="11" t="str">
        <f>tbl_financials[[#This Row],[Month_Name]] &amp; "_" &amp; (tbl_financials[[#This Row],[Year]]-1)</f>
        <v>June_2013</v>
      </c>
      <c r="X9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93" spans="1:24" x14ac:dyDescent="0.3">
      <c r="A93" t="s">
        <v>6</v>
      </c>
      <c r="B93" t="s">
        <v>15</v>
      </c>
      <c r="C93" t="s">
        <v>36</v>
      </c>
      <c r="D93" t="s">
        <v>39</v>
      </c>
      <c r="E93" s="9">
        <v>787</v>
      </c>
      <c r="F93" s="7">
        <v>250</v>
      </c>
      <c r="G93" s="7">
        <v>125</v>
      </c>
      <c r="H93" s="7">
        <v>98375</v>
      </c>
      <c r="I93" s="5">
        <v>983.75</v>
      </c>
      <c r="J93" s="5">
        <v>97391.25</v>
      </c>
      <c r="K93" s="7">
        <v>94440</v>
      </c>
      <c r="L93" s="5">
        <v>2951.25</v>
      </c>
      <c r="M93" s="1">
        <v>41791</v>
      </c>
      <c r="N93">
        <v>6</v>
      </c>
      <c r="O93" t="s">
        <v>23</v>
      </c>
      <c r="P93" t="s">
        <v>12</v>
      </c>
      <c r="Q93" s="5">
        <f>tbl_financials[[#This Row],[Net_Sales]]</f>
        <v>97391.25</v>
      </c>
      <c r="R93" s="5">
        <f>ROUND(tbl_financials[[#This Row],[Revenue]]*(0.12+MOD(ROW(),7)/100),2)</f>
        <v>13634.78</v>
      </c>
      <c r="S93" s="7">
        <f t="shared" si="1"/>
        <v>3883</v>
      </c>
      <c r="T93" s="5">
        <f>tbl_financials[[#This Row],[Gross_Profit]]-tbl_financials[[#This Row],[Operating_Expenses]]+tbl_financials[[#This Row],[Other_Income]]</f>
        <v>-6800.5300000000007</v>
      </c>
      <c r="U93" s="11">
        <f>IF(tbl_financials[[#This Row],[Revenue]]=0,0,tbl_financials[[#This Row],[Net_Profit]]/tbl_financials[[#This Row],[Revenue]])</f>
        <v>-6.982690950162361E-2</v>
      </c>
      <c r="V93" s="11" t="str">
        <f>tbl_financials[[#This Row],[Month_Name]] &amp; "_" &amp; tbl_financials[[#This Row],[Year]]</f>
        <v>June_2014</v>
      </c>
      <c r="W93" s="11" t="str">
        <f>tbl_financials[[#This Row],[Month_Name]] &amp; "_" &amp; (tbl_financials[[#This Row],[Year]]-1)</f>
        <v>June_2013</v>
      </c>
      <c r="X9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94" spans="1:24" x14ac:dyDescent="0.3">
      <c r="A94" t="s">
        <v>4</v>
      </c>
      <c r="B94" t="s">
        <v>16</v>
      </c>
      <c r="C94" t="s">
        <v>36</v>
      </c>
      <c r="D94" t="s">
        <v>39</v>
      </c>
      <c r="E94" s="9">
        <v>986</v>
      </c>
      <c r="F94" s="7">
        <v>250</v>
      </c>
      <c r="G94" s="7">
        <v>300</v>
      </c>
      <c r="H94" s="7">
        <v>295800</v>
      </c>
      <c r="I94" s="5">
        <v>2958</v>
      </c>
      <c r="J94" s="5">
        <v>292842</v>
      </c>
      <c r="K94" s="7">
        <v>246500</v>
      </c>
      <c r="L94" s="5">
        <v>46342</v>
      </c>
      <c r="M94" s="1">
        <v>41883</v>
      </c>
      <c r="N94">
        <v>9</v>
      </c>
      <c r="O94" t="s">
        <v>26</v>
      </c>
      <c r="P94" t="s">
        <v>12</v>
      </c>
      <c r="Q94" s="5">
        <f>tbl_financials[[#This Row],[Net_Sales]]</f>
        <v>292842</v>
      </c>
      <c r="R94" s="5">
        <f>ROUND(tbl_financials[[#This Row],[Revenue]]*(0.12+MOD(ROW(),7)/100),2)</f>
        <v>43926.3</v>
      </c>
      <c r="S94" s="7">
        <f t="shared" si="1"/>
        <v>3914</v>
      </c>
      <c r="T94" s="5">
        <f>tbl_financials[[#This Row],[Gross_Profit]]-tbl_financials[[#This Row],[Operating_Expenses]]+tbl_financials[[#This Row],[Other_Income]]</f>
        <v>6329.6999999999971</v>
      </c>
      <c r="U94" s="11">
        <f>IF(tbl_financials[[#This Row],[Revenue]]=0,0,tbl_financials[[#This Row],[Net_Profit]]/tbl_financials[[#This Row],[Revenue]])</f>
        <v>2.1614727395660449E-2</v>
      </c>
      <c r="V94" s="11" t="str">
        <f>tbl_financials[[#This Row],[Month_Name]] &amp; "_" &amp; tbl_financials[[#This Row],[Year]]</f>
        <v>September_2014</v>
      </c>
      <c r="W94" s="11" t="str">
        <f>tbl_financials[[#This Row],[Month_Name]] &amp; "_" &amp; (tbl_financials[[#This Row],[Year]]-1)</f>
        <v>September_2013</v>
      </c>
      <c r="X9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34.56065573770492</v>
      </c>
    </row>
    <row r="95" spans="1:24" x14ac:dyDescent="0.3">
      <c r="A95" t="s">
        <v>4</v>
      </c>
      <c r="B95" t="s">
        <v>17</v>
      </c>
      <c r="C95" t="s">
        <v>36</v>
      </c>
      <c r="D95" t="s">
        <v>39</v>
      </c>
      <c r="E95" s="9">
        <v>494</v>
      </c>
      <c r="F95" s="7">
        <v>250</v>
      </c>
      <c r="G95" s="7">
        <v>300</v>
      </c>
      <c r="H95" s="7">
        <v>148200</v>
      </c>
      <c r="I95" s="5">
        <v>1482</v>
      </c>
      <c r="J95" s="5">
        <v>146718</v>
      </c>
      <c r="K95" s="7">
        <v>123500</v>
      </c>
      <c r="L95" s="5">
        <v>23218</v>
      </c>
      <c r="M95" s="1">
        <v>41548</v>
      </c>
      <c r="N95">
        <v>10</v>
      </c>
      <c r="O95" t="s">
        <v>27</v>
      </c>
      <c r="P95" t="s">
        <v>11</v>
      </c>
      <c r="Q95" s="5">
        <f>tbl_financials[[#This Row],[Net_Sales]]</f>
        <v>146718</v>
      </c>
      <c r="R95" s="5">
        <f>ROUND(tbl_financials[[#This Row],[Revenue]]*(0.12+MOD(ROW(),7)/100),2)</f>
        <v>23474.880000000001</v>
      </c>
      <c r="S95" s="7">
        <f t="shared" si="1"/>
        <v>3945</v>
      </c>
      <c r="T95" s="5">
        <f>tbl_financials[[#This Row],[Gross_Profit]]-tbl_financials[[#This Row],[Operating_Expenses]]+tbl_financials[[#This Row],[Other_Income]]</f>
        <v>3688.119999999999</v>
      </c>
      <c r="U95" s="11">
        <f>IF(tbl_financials[[#This Row],[Revenue]]=0,0,tbl_financials[[#This Row],[Net_Profit]]/tbl_financials[[#This Row],[Revenue]])</f>
        <v>2.5137474611158814E-2</v>
      </c>
      <c r="V95" s="11" t="str">
        <f>tbl_financials[[#This Row],[Month_Name]] &amp; "_" &amp; tbl_financials[[#This Row],[Year]]</f>
        <v>October_2013</v>
      </c>
      <c r="W95" s="11" t="str">
        <f>tbl_financials[[#This Row],[Month_Name]] &amp; "_" &amp; (tbl_financials[[#This Row],[Year]]-1)</f>
        <v>October_2012</v>
      </c>
      <c r="X9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96" spans="1:24" x14ac:dyDescent="0.3">
      <c r="A96" t="s">
        <v>7</v>
      </c>
      <c r="B96" t="s">
        <v>17</v>
      </c>
      <c r="C96" t="s">
        <v>36</v>
      </c>
      <c r="D96" t="s">
        <v>39</v>
      </c>
      <c r="E96" s="9">
        <v>1397</v>
      </c>
      <c r="F96" s="7">
        <v>250</v>
      </c>
      <c r="G96" s="7">
        <v>350</v>
      </c>
      <c r="H96" s="7">
        <v>488950</v>
      </c>
      <c r="I96" s="5">
        <v>4889.5</v>
      </c>
      <c r="J96" s="5">
        <v>484060.5</v>
      </c>
      <c r="K96" s="7">
        <v>363220</v>
      </c>
      <c r="L96" s="5">
        <v>120840.5</v>
      </c>
      <c r="M96" s="1">
        <v>41913</v>
      </c>
      <c r="N96">
        <v>10</v>
      </c>
      <c r="O96" t="s">
        <v>27</v>
      </c>
      <c r="P96" t="s">
        <v>12</v>
      </c>
      <c r="Q96" s="5">
        <f>tbl_financials[[#This Row],[Net_Sales]]</f>
        <v>484060.5</v>
      </c>
      <c r="R96" s="5">
        <f>ROUND(tbl_financials[[#This Row],[Revenue]]*(0.12+MOD(ROW(),7)/100),2)</f>
        <v>82290.289999999994</v>
      </c>
      <c r="S96" s="7">
        <f t="shared" si="1"/>
        <v>3976</v>
      </c>
      <c r="T96" s="5">
        <f>tbl_financials[[#This Row],[Gross_Profit]]-tbl_financials[[#This Row],[Operating_Expenses]]+tbl_financials[[#This Row],[Other_Income]]</f>
        <v>42526.210000000006</v>
      </c>
      <c r="U96" s="11">
        <f>IF(tbl_financials[[#This Row],[Revenue]]=0,0,tbl_financials[[#This Row],[Net_Profit]]/tbl_financials[[#This Row],[Revenue]])</f>
        <v>8.7853088611857422E-2</v>
      </c>
      <c r="V96" s="11" t="str">
        <f>tbl_financials[[#This Row],[Month_Name]] &amp; "_" &amp; tbl_financials[[#This Row],[Year]]</f>
        <v>October_2014</v>
      </c>
      <c r="W96" s="11" t="str">
        <f>tbl_financials[[#This Row],[Month_Name]] &amp; "_" &amp; (tbl_financials[[#This Row],[Year]]-1)</f>
        <v>October_2013</v>
      </c>
      <c r="X9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10.224591304347825</v>
      </c>
    </row>
    <row r="97" spans="1:24" x14ac:dyDescent="0.3">
      <c r="A97" t="s">
        <v>6</v>
      </c>
      <c r="B97" t="s">
        <v>15</v>
      </c>
      <c r="C97" t="s">
        <v>36</v>
      </c>
      <c r="D97" t="s">
        <v>39</v>
      </c>
      <c r="E97" s="9">
        <v>1744</v>
      </c>
      <c r="F97" s="7">
        <v>250</v>
      </c>
      <c r="G97" s="7">
        <v>125</v>
      </c>
      <c r="H97" s="7">
        <v>218000</v>
      </c>
      <c r="I97" s="5">
        <v>2180</v>
      </c>
      <c r="J97" s="5">
        <v>215820</v>
      </c>
      <c r="K97" s="7">
        <v>209280</v>
      </c>
      <c r="L97" s="5">
        <v>6540</v>
      </c>
      <c r="M97" s="1">
        <v>41944</v>
      </c>
      <c r="N97">
        <v>11</v>
      </c>
      <c r="O97" t="s">
        <v>28</v>
      </c>
      <c r="P97" t="s">
        <v>12</v>
      </c>
      <c r="Q97" s="5">
        <f>tbl_financials[[#This Row],[Net_Sales]]</f>
        <v>215820</v>
      </c>
      <c r="R97" s="5">
        <f>ROUND(tbl_financials[[#This Row],[Revenue]]*(0.12+MOD(ROW(),7)/100),2)</f>
        <v>38847.599999999999</v>
      </c>
      <c r="S97" s="7">
        <f t="shared" si="1"/>
        <v>4007</v>
      </c>
      <c r="T97" s="5">
        <f>tbl_financials[[#This Row],[Gross_Profit]]-tbl_financials[[#This Row],[Operating_Expenses]]+tbl_financials[[#This Row],[Other_Income]]</f>
        <v>-28300.6</v>
      </c>
      <c r="U97" s="11">
        <f>IF(tbl_financials[[#This Row],[Revenue]]=0,0,tbl_financials[[#This Row],[Net_Profit]]/tbl_financials[[#This Row],[Revenue]])</f>
        <v>-0.1311305717727736</v>
      </c>
      <c r="V97" s="11" t="str">
        <f>tbl_financials[[#This Row],[Month_Name]] &amp; "_" &amp; tbl_financials[[#This Row],[Year]]</f>
        <v>November_2014</v>
      </c>
      <c r="W97" s="11" t="str">
        <f>tbl_financials[[#This Row],[Month_Name]] &amp; "_" &amp; (tbl_financials[[#This Row],[Year]]-1)</f>
        <v>November_2013</v>
      </c>
      <c r="X9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-0.64253416149068321</v>
      </c>
    </row>
    <row r="98" spans="1:24" x14ac:dyDescent="0.3">
      <c r="A98" t="s">
        <v>8</v>
      </c>
      <c r="B98" t="s">
        <v>14</v>
      </c>
      <c r="C98" t="s">
        <v>37</v>
      </c>
      <c r="D98" t="s">
        <v>39</v>
      </c>
      <c r="E98" s="9">
        <v>1989</v>
      </c>
      <c r="F98" s="7">
        <v>260</v>
      </c>
      <c r="G98" s="7">
        <v>12</v>
      </c>
      <c r="H98" s="7">
        <v>23868</v>
      </c>
      <c r="I98" s="5">
        <v>238.68</v>
      </c>
      <c r="J98" s="5">
        <v>23629.32</v>
      </c>
      <c r="K98" s="7">
        <v>5967</v>
      </c>
      <c r="L98" s="5">
        <v>17662.32</v>
      </c>
      <c r="M98" s="1">
        <v>41518</v>
      </c>
      <c r="N98">
        <v>9</v>
      </c>
      <c r="O98" t="s">
        <v>26</v>
      </c>
      <c r="P98" t="s">
        <v>11</v>
      </c>
      <c r="Q98" s="5">
        <f>tbl_financials[[#This Row],[Net_Sales]]</f>
        <v>23629.32</v>
      </c>
      <c r="R98" s="5">
        <f>ROUND(tbl_financials[[#This Row],[Revenue]]*(0.12+MOD(ROW(),7)/100),2)</f>
        <v>2835.52</v>
      </c>
      <c r="S98" s="7">
        <f t="shared" si="1"/>
        <v>4038</v>
      </c>
      <c r="T98" s="5">
        <f>tbl_financials[[#This Row],[Gross_Profit]]-tbl_financials[[#This Row],[Operating_Expenses]]+tbl_financials[[#This Row],[Other_Income]]</f>
        <v>18864.8</v>
      </c>
      <c r="U98" s="11">
        <f>IF(tbl_financials[[#This Row],[Revenue]]=0,0,tbl_financials[[#This Row],[Net_Profit]]/tbl_financials[[#This Row],[Revenue]])</f>
        <v>0.79836406633792256</v>
      </c>
      <c r="V98" s="11" t="str">
        <f>tbl_financials[[#This Row],[Month_Name]] &amp; "_" &amp; tbl_financials[[#This Row],[Year]]</f>
        <v>September_2013</v>
      </c>
      <c r="W98" s="11" t="str">
        <f>tbl_financials[[#This Row],[Month_Name]] &amp; "_" &amp; (tbl_financials[[#This Row],[Year]]-1)</f>
        <v>September_2012</v>
      </c>
      <c r="X9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99" spans="1:24" x14ac:dyDescent="0.3">
      <c r="A99" t="s">
        <v>5</v>
      </c>
      <c r="B99" t="s">
        <v>15</v>
      </c>
      <c r="C99" t="s">
        <v>37</v>
      </c>
      <c r="D99" t="s">
        <v>39</v>
      </c>
      <c r="E99" s="9">
        <v>321</v>
      </c>
      <c r="F99" s="7">
        <v>260</v>
      </c>
      <c r="G99" s="7">
        <v>15</v>
      </c>
      <c r="H99" s="7">
        <v>4815</v>
      </c>
      <c r="I99" s="5">
        <v>48.15</v>
      </c>
      <c r="J99" s="5">
        <v>4766.8500000000004</v>
      </c>
      <c r="K99" s="7">
        <v>3210</v>
      </c>
      <c r="L99" s="5">
        <v>1556.85</v>
      </c>
      <c r="M99" s="1">
        <v>41579</v>
      </c>
      <c r="N99">
        <v>11</v>
      </c>
      <c r="O99" t="s">
        <v>28</v>
      </c>
      <c r="P99" t="s">
        <v>11</v>
      </c>
      <c r="Q99" s="5">
        <f>tbl_financials[[#This Row],[Net_Sales]]</f>
        <v>4766.8500000000004</v>
      </c>
      <c r="R99" s="5">
        <f>ROUND(tbl_financials[[#This Row],[Revenue]]*(0.12+MOD(ROW(),7)/100),2)</f>
        <v>619.69000000000005</v>
      </c>
      <c r="S99" s="7">
        <f t="shared" si="1"/>
        <v>4069</v>
      </c>
      <c r="T99" s="5">
        <f>tbl_financials[[#This Row],[Gross_Profit]]-tbl_financials[[#This Row],[Operating_Expenses]]+tbl_financials[[#This Row],[Other_Income]]</f>
        <v>5006.16</v>
      </c>
      <c r="U99" s="11">
        <f>IF(tbl_financials[[#This Row],[Revenue]]=0,0,tbl_financials[[#This Row],[Net_Profit]]/tbl_financials[[#This Row],[Revenue]])</f>
        <v>1.0502029642216557</v>
      </c>
      <c r="V99" s="11" t="str">
        <f>tbl_financials[[#This Row],[Month_Name]] &amp; "_" &amp; tbl_financials[[#This Row],[Year]]</f>
        <v>November_2013</v>
      </c>
      <c r="W99" s="11" t="str">
        <f>tbl_financials[[#This Row],[Month_Name]] &amp; "_" &amp; (tbl_financials[[#This Row],[Year]]-1)</f>
        <v>November_2012</v>
      </c>
      <c r="X9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00" spans="1:24" x14ac:dyDescent="0.3">
      <c r="A100" t="s">
        <v>6</v>
      </c>
      <c r="B100" t="s">
        <v>13</v>
      </c>
      <c r="C100" t="s">
        <v>32</v>
      </c>
      <c r="D100" t="s">
        <v>39</v>
      </c>
      <c r="E100" s="9">
        <v>742.5</v>
      </c>
      <c r="F100" s="7">
        <v>3</v>
      </c>
      <c r="G100" s="7">
        <v>125</v>
      </c>
      <c r="H100" s="7">
        <v>92812.5</v>
      </c>
      <c r="I100" s="5">
        <v>1856.25</v>
      </c>
      <c r="J100" s="5">
        <v>90956.25</v>
      </c>
      <c r="K100" s="7">
        <v>89100</v>
      </c>
      <c r="L100" s="5">
        <v>1856.25</v>
      </c>
      <c r="M100" s="1">
        <v>41730</v>
      </c>
      <c r="N100">
        <v>4</v>
      </c>
      <c r="O100" t="s">
        <v>21</v>
      </c>
      <c r="P100" t="s">
        <v>12</v>
      </c>
      <c r="Q100" s="5">
        <f>tbl_financials[[#This Row],[Net_Sales]]</f>
        <v>90956.25</v>
      </c>
      <c r="R100" s="5">
        <f>ROUND(tbl_financials[[#This Row],[Revenue]]*(0.12+MOD(ROW(),7)/100),2)</f>
        <v>12733.88</v>
      </c>
      <c r="S100" s="7">
        <f t="shared" si="1"/>
        <v>4100</v>
      </c>
      <c r="T100" s="5">
        <f>tbl_financials[[#This Row],[Gross_Profit]]-tbl_financials[[#This Row],[Operating_Expenses]]+tbl_financials[[#This Row],[Other_Income]]</f>
        <v>-6777.6299999999992</v>
      </c>
      <c r="U100" s="11">
        <f>IF(tbl_financials[[#This Row],[Revenue]]=0,0,tbl_financials[[#This Row],[Net_Profit]]/tbl_financials[[#This Row],[Revenue]])</f>
        <v>-7.4515275200989481E-2</v>
      </c>
      <c r="V100" s="11" t="str">
        <f>tbl_financials[[#This Row],[Month_Name]] &amp; "_" &amp; tbl_financials[[#This Row],[Year]]</f>
        <v>April_2014</v>
      </c>
      <c r="W100" s="11" t="str">
        <f>tbl_financials[[#This Row],[Month_Name]] &amp; "_" &amp; (tbl_financials[[#This Row],[Year]]-1)</f>
        <v>April_2013</v>
      </c>
      <c r="X10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01" spans="1:24" x14ac:dyDescent="0.3">
      <c r="A101" t="s">
        <v>8</v>
      </c>
      <c r="B101" t="s">
        <v>13</v>
      </c>
      <c r="C101" t="s">
        <v>32</v>
      </c>
      <c r="D101" t="s">
        <v>39</v>
      </c>
      <c r="E101" s="9">
        <v>1295</v>
      </c>
      <c r="F101" s="7">
        <v>3</v>
      </c>
      <c r="G101" s="7">
        <v>12</v>
      </c>
      <c r="H101" s="7">
        <v>15540</v>
      </c>
      <c r="I101" s="5">
        <v>310.8</v>
      </c>
      <c r="J101" s="5">
        <v>15229.2</v>
      </c>
      <c r="K101" s="7">
        <v>3885</v>
      </c>
      <c r="L101" s="5">
        <v>11344.2</v>
      </c>
      <c r="M101" s="1">
        <v>41913</v>
      </c>
      <c r="N101">
        <v>10</v>
      </c>
      <c r="O101" t="s">
        <v>27</v>
      </c>
      <c r="P101" t="s">
        <v>12</v>
      </c>
      <c r="Q101" s="5">
        <f>tbl_financials[[#This Row],[Net_Sales]]</f>
        <v>15229.2</v>
      </c>
      <c r="R101" s="5">
        <f>ROUND(tbl_financials[[#This Row],[Revenue]]*(0.12+MOD(ROW(),7)/100),2)</f>
        <v>2284.38</v>
      </c>
      <c r="S101" s="7">
        <f t="shared" si="1"/>
        <v>4131</v>
      </c>
      <c r="T101" s="5">
        <f>tbl_financials[[#This Row],[Gross_Profit]]-tbl_financials[[#This Row],[Operating_Expenses]]+tbl_financials[[#This Row],[Other_Income]]</f>
        <v>13190.82</v>
      </c>
      <c r="U101" s="11">
        <f>IF(tbl_financials[[#This Row],[Revenue]]=0,0,tbl_financials[[#This Row],[Net_Profit]]/tbl_financials[[#This Row],[Revenue]])</f>
        <v>0.86615317941848546</v>
      </c>
      <c r="V101" s="11" t="str">
        <f>tbl_financials[[#This Row],[Month_Name]] &amp; "_" &amp; tbl_financials[[#This Row],[Year]]</f>
        <v>October_2014</v>
      </c>
      <c r="W101" s="11" t="str">
        <f>tbl_financials[[#This Row],[Month_Name]] &amp; "_" &amp; (tbl_financials[[#This Row],[Year]]-1)</f>
        <v>October_2013</v>
      </c>
      <c r="X10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-0.6468591304347826</v>
      </c>
    </row>
    <row r="102" spans="1:24" x14ac:dyDescent="0.3">
      <c r="A102" t="s">
        <v>4</v>
      </c>
      <c r="B102" t="s">
        <v>16</v>
      </c>
      <c r="C102" t="s">
        <v>32</v>
      </c>
      <c r="D102" t="s">
        <v>39</v>
      </c>
      <c r="E102" s="9">
        <v>214</v>
      </c>
      <c r="F102" s="7">
        <v>3</v>
      </c>
      <c r="G102" s="7">
        <v>300</v>
      </c>
      <c r="H102" s="7">
        <v>64200</v>
      </c>
      <c r="I102" s="5">
        <v>1284</v>
      </c>
      <c r="J102" s="5">
        <v>62916</v>
      </c>
      <c r="K102" s="7">
        <v>53500</v>
      </c>
      <c r="L102" s="5">
        <v>9416</v>
      </c>
      <c r="M102" s="1">
        <v>41548</v>
      </c>
      <c r="N102">
        <v>10</v>
      </c>
      <c r="O102" t="s">
        <v>27</v>
      </c>
      <c r="P102" t="s">
        <v>11</v>
      </c>
      <c r="Q102" s="5">
        <f>tbl_financials[[#This Row],[Net_Sales]]</f>
        <v>62916</v>
      </c>
      <c r="R102" s="5">
        <f>ROUND(tbl_financials[[#This Row],[Revenue]]*(0.12+MOD(ROW(),7)/100),2)</f>
        <v>10066.56</v>
      </c>
      <c r="S102" s="7">
        <f t="shared" si="1"/>
        <v>4162</v>
      </c>
      <c r="T102" s="5">
        <f>tbl_financials[[#This Row],[Gross_Profit]]-tbl_financials[[#This Row],[Operating_Expenses]]+tbl_financials[[#This Row],[Other_Income]]</f>
        <v>3511.4400000000005</v>
      </c>
      <c r="U102" s="11">
        <f>IF(tbl_financials[[#This Row],[Revenue]]=0,0,tbl_financials[[#This Row],[Net_Profit]]/tbl_financials[[#This Row],[Revenue]])</f>
        <v>5.581155826816709E-2</v>
      </c>
      <c r="V102" s="11" t="str">
        <f>tbl_financials[[#This Row],[Month_Name]] &amp; "_" &amp; tbl_financials[[#This Row],[Year]]</f>
        <v>October_2013</v>
      </c>
      <c r="W102" s="11" t="str">
        <f>tbl_financials[[#This Row],[Month_Name]] &amp; "_" &amp; (tbl_financials[[#This Row],[Year]]-1)</f>
        <v>October_2012</v>
      </c>
      <c r="X10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03" spans="1:24" x14ac:dyDescent="0.3">
      <c r="A103" t="s">
        <v>7</v>
      </c>
      <c r="B103" t="s">
        <v>15</v>
      </c>
      <c r="C103" t="s">
        <v>32</v>
      </c>
      <c r="D103" t="s">
        <v>39</v>
      </c>
      <c r="E103" s="9">
        <v>2145</v>
      </c>
      <c r="F103" s="7">
        <v>3</v>
      </c>
      <c r="G103" s="7">
        <v>7</v>
      </c>
      <c r="H103" s="7">
        <v>15015</v>
      </c>
      <c r="I103" s="5">
        <v>300.3</v>
      </c>
      <c r="J103" s="5">
        <v>14714.7</v>
      </c>
      <c r="K103" s="7">
        <v>10725</v>
      </c>
      <c r="L103" s="5">
        <v>3989.7</v>
      </c>
      <c r="M103" s="1">
        <v>41579</v>
      </c>
      <c r="N103">
        <v>11</v>
      </c>
      <c r="O103" t="s">
        <v>28</v>
      </c>
      <c r="P103" t="s">
        <v>11</v>
      </c>
      <c r="Q103" s="5">
        <f>tbl_financials[[#This Row],[Net_Sales]]</f>
        <v>14714.7</v>
      </c>
      <c r="R103" s="5">
        <f>ROUND(tbl_financials[[#This Row],[Revenue]]*(0.12+MOD(ROW(),7)/100),2)</f>
        <v>2501.5</v>
      </c>
      <c r="S103" s="7">
        <f t="shared" si="1"/>
        <v>4193</v>
      </c>
      <c r="T103" s="5">
        <f>tbl_financials[[#This Row],[Gross_Profit]]-tbl_financials[[#This Row],[Operating_Expenses]]+tbl_financials[[#This Row],[Other_Income]]</f>
        <v>5681.2</v>
      </c>
      <c r="U103" s="11">
        <f>IF(tbl_financials[[#This Row],[Revenue]]=0,0,tbl_financials[[#This Row],[Net_Profit]]/tbl_financials[[#This Row],[Revenue]])</f>
        <v>0.38609010037581465</v>
      </c>
      <c r="V103" s="11" t="str">
        <f>tbl_financials[[#This Row],[Month_Name]] &amp; "_" &amp; tbl_financials[[#This Row],[Year]]</f>
        <v>November_2013</v>
      </c>
      <c r="W103" s="11" t="str">
        <f>tbl_financials[[#This Row],[Month_Name]] &amp; "_" &amp; (tbl_financials[[#This Row],[Year]]-1)</f>
        <v>November_2012</v>
      </c>
      <c r="X10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04" spans="1:24" x14ac:dyDescent="0.3">
      <c r="A104" t="s">
        <v>7</v>
      </c>
      <c r="B104" t="s">
        <v>13</v>
      </c>
      <c r="C104" t="s">
        <v>32</v>
      </c>
      <c r="D104" t="s">
        <v>39</v>
      </c>
      <c r="E104" s="9">
        <v>2852</v>
      </c>
      <c r="F104" s="7">
        <v>3</v>
      </c>
      <c r="G104" s="7">
        <v>350</v>
      </c>
      <c r="H104" s="7">
        <v>998200</v>
      </c>
      <c r="I104" s="5">
        <v>19964</v>
      </c>
      <c r="J104" s="5">
        <v>978236</v>
      </c>
      <c r="K104" s="7">
        <v>741520</v>
      </c>
      <c r="L104" s="5">
        <v>236716</v>
      </c>
      <c r="M104" s="1">
        <v>41974</v>
      </c>
      <c r="N104">
        <v>12</v>
      </c>
      <c r="O104" t="s">
        <v>29</v>
      </c>
      <c r="P104" t="s">
        <v>12</v>
      </c>
      <c r="Q104" s="5">
        <f>tbl_financials[[#This Row],[Net_Sales]]</f>
        <v>978236</v>
      </c>
      <c r="R104" s="5">
        <f>ROUND(tbl_financials[[#This Row],[Revenue]]*(0.12+MOD(ROW(),7)/100),2)</f>
        <v>176082.48</v>
      </c>
      <c r="S104" s="7">
        <f t="shared" si="1"/>
        <v>4224</v>
      </c>
      <c r="T104" s="5">
        <f>tbl_financials[[#This Row],[Gross_Profit]]-tbl_financials[[#This Row],[Operating_Expenses]]+tbl_financials[[#This Row],[Other_Income]]</f>
        <v>64857.51999999999</v>
      </c>
      <c r="U104" s="11">
        <f>IF(tbl_financials[[#This Row],[Revenue]]=0,0,tbl_financials[[#This Row],[Net_Profit]]/tbl_financials[[#This Row],[Revenue]])</f>
        <v>6.630048372785298E-2</v>
      </c>
      <c r="V104" s="11" t="str">
        <f>tbl_financials[[#This Row],[Month_Name]] &amp; "_" &amp; tbl_financials[[#This Row],[Year]]</f>
        <v>December_2014</v>
      </c>
      <c r="W104" s="11" t="str">
        <f>tbl_financials[[#This Row],[Month_Name]] &amp; "_" &amp; (tbl_financials[[#This Row],[Year]]-1)</f>
        <v>December_2013</v>
      </c>
      <c r="X10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29.304708798017348</v>
      </c>
    </row>
    <row r="105" spans="1:24" x14ac:dyDescent="0.3">
      <c r="A105" t="s">
        <v>8</v>
      </c>
      <c r="B105" t="s">
        <v>14</v>
      </c>
      <c r="C105" t="s">
        <v>33</v>
      </c>
      <c r="D105" t="s">
        <v>39</v>
      </c>
      <c r="E105" s="9">
        <v>1142</v>
      </c>
      <c r="F105" s="7">
        <v>5</v>
      </c>
      <c r="G105" s="7">
        <v>12</v>
      </c>
      <c r="H105" s="7">
        <v>13704</v>
      </c>
      <c r="I105" s="5">
        <v>274.08</v>
      </c>
      <c r="J105" s="5">
        <v>13429.92</v>
      </c>
      <c r="K105" s="7">
        <v>3426</v>
      </c>
      <c r="L105" s="5">
        <v>10003.92</v>
      </c>
      <c r="M105" s="1">
        <v>41791</v>
      </c>
      <c r="N105">
        <v>6</v>
      </c>
      <c r="O105" t="s">
        <v>23</v>
      </c>
      <c r="P105" t="s">
        <v>12</v>
      </c>
      <c r="Q105" s="5">
        <f>tbl_financials[[#This Row],[Net_Sales]]</f>
        <v>13429.92</v>
      </c>
      <c r="R105" s="5">
        <f>ROUND(tbl_financials[[#This Row],[Revenue]]*(0.12+MOD(ROW(),7)/100),2)</f>
        <v>1611.59</v>
      </c>
      <c r="S105" s="7">
        <f t="shared" si="1"/>
        <v>4255</v>
      </c>
      <c r="T105" s="5">
        <f>tbl_financials[[#This Row],[Gross_Profit]]-tbl_financials[[#This Row],[Operating_Expenses]]+tbl_financials[[#This Row],[Other_Income]]</f>
        <v>12647.33</v>
      </c>
      <c r="U105" s="11">
        <f>IF(tbl_financials[[#This Row],[Revenue]]=0,0,tbl_financials[[#This Row],[Net_Profit]]/tbl_financials[[#This Row],[Revenue]])</f>
        <v>0.94172787328591678</v>
      </c>
      <c r="V105" s="11" t="str">
        <f>tbl_financials[[#This Row],[Month_Name]] &amp; "_" &amp; tbl_financials[[#This Row],[Year]]</f>
        <v>June_2014</v>
      </c>
      <c r="W105" s="11" t="str">
        <f>tbl_financials[[#This Row],[Month_Name]] &amp; "_" &amp; (tbl_financials[[#This Row],[Year]]-1)</f>
        <v>June_2013</v>
      </c>
      <c r="X10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06" spans="1:24" x14ac:dyDescent="0.3">
      <c r="A106" t="s">
        <v>7</v>
      </c>
      <c r="B106" t="s">
        <v>14</v>
      </c>
      <c r="C106" t="s">
        <v>33</v>
      </c>
      <c r="D106" t="s">
        <v>39</v>
      </c>
      <c r="E106" s="9">
        <v>1566</v>
      </c>
      <c r="F106" s="7">
        <v>5</v>
      </c>
      <c r="G106" s="7">
        <v>20</v>
      </c>
      <c r="H106" s="7">
        <v>31320</v>
      </c>
      <c r="I106" s="5">
        <v>626.4</v>
      </c>
      <c r="J106" s="5">
        <v>30693.599999999999</v>
      </c>
      <c r="K106" s="7">
        <v>15660</v>
      </c>
      <c r="L106" s="5">
        <v>15033.5999999999</v>
      </c>
      <c r="M106" s="1">
        <v>41913</v>
      </c>
      <c r="N106">
        <v>10</v>
      </c>
      <c r="O106" t="s">
        <v>27</v>
      </c>
      <c r="P106" t="s">
        <v>12</v>
      </c>
      <c r="Q106" s="5">
        <f>tbl_financials[[#This Row],[Net_Sales]]</f>
        <v>30693.599999999999</v>
      </c>
      <c r="R106" s="5">
        <f>ROUND(tbl_financials[[#This Row],[Revenue]]*(0.12+MOD(ROW(),7)/100),2)</f>
        <v>3990.17</v>
      </c>
      <c r="S106" s="7">
        <f t="shared" si="1"/>
        <v>4286</v>
      </c>
      <c r="T106" s="5">
        <f>tbl_financials[[#This Row],[Gross_Profit]]-tbl_financials[[#This Row],[Operating_Expenses]]+tbl_financials[[#This Row],[Other_Income]]</f>
        <v>15329.4299999999</v>
      </c>
      <c r="U106" s="11">
        <f>IF(tbl_financials[[#This Row],[Revenue]]=0,0,tbl_financials[[#This Row],[Net_Profit]]/tbl_financials[[#This Row],[Revenue]])</f>
        <v>0.49943408397841571</v>
      </c>
      <c r="V106" s="11" t="str">
        <f>tbl_financials[[#This Row],[Month_Name]] &amp; "_" &amp; tbl_financials[[#This Row],[Year]]</f>
        <v>October_2014</v>
      </c>
      <c r="W106" s="11" t="str">
        <f>tbl_financials[[#This Row],[Month_Name]] &amp; "_" &amp; (tbl_financials[[#This Row],[Year]]-1)</f>
        <v>October_2013</v>
      </c>
      <c r="X10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-0.28826434782608701</v>
      </c>
    </row>
    <row r="107" spans="1:24" x14ac:dyDescent="0.3">
      <c r="A107" t="s">
        <v>8</v>
      </c>
      <c r="B107" t="s">
        <v>17</v>
      </c>
      <c r="C107" t="s">
        <v>33</v>
      </c>
      <c r="D107" t="s">
        <v>39</v>
      </c>
      <c r="E107" s="9">
        <v>690</v>
      </c>
      <c r="F107" s="7">
        <v>5</v>
      </c>
      <c r="G107" s="7">
        <v>12</v>
      </c>
      <c r="H107" s="7">
        <v>8280</v>
      </c>
      <c r="I107" s="5">
        <v>165.6</v>
      </c>
      <c r="J107" s="5">
        <v>8114.4</v>
      </c>
      <c r="K107" s="7">
        <v>2070</v>
      </c>
      <c r="L107" s="5">
        <v>6044.4</v>
      </c>
      <c r="M107" s="1">
        <v>41944</v>
      </c>
      <c r="N107">
        <v>11</v>
      </c>
      <c r="O107" t="s">
        <v>28</v>
      </c>
      <c r="P107" t="s">
        <v>12</v>
      </c>
      <c r="Q107" s="5">
        <f>tbl_financials[[#This Row],[Net_Sales]]</f>
        <v>8114.4</v>
      </c>
      <c r="R107" s="5">
        <f>ROUND(tbl_financials[[#This Row],[Revenue]]*(0.12+MOD(ROW(),7)/100),2)</f>
        <v>1136.02</v>
      </c>
      <c r="S107" s="7">
        <f t="shared" si="1"/>
        <v>4317</v>
      </c>
      <c r="T107" s="5">
        <f>tbl_financials[[#This Row],[Gross_Profit]]-tbl_financials[[#This Row],[Operating_Expenses]]+tbl_financials[[#This Row],[Other_Income]]</f>
        <v>9225.3799999999992</v>
      </c>
      <c r="U107" s="11">
        <f>IF(tbl_financials[[#This Row],[Revenue]]=0,0,tbl_financials[[#This Row],[Net_Profit]]/tbl_financials[[#This Row],[Revenue]])</f>
        <v>1.1369146209208321</v>
      </c>
      <c r="V107" s="11" t="str">
        <f>tbl_financials[[#This Row],[Month_Name]] &amp; "_" &amp; tbl_financials[[#This Row],[Year]]</f>
        <v>November_2014</v>
      </c>
      <c r="W107" s="11" t="str">
        <f>tbl_financials[[#This Row],[Month_Name]] &amp; "_" &amp; (tbl_financials[[#This Row],[Year]]-1)</f>
        <v>November_2013</v>
      </c>
      <c r="X10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-0.98655999999999999</v>
      </c>
    </row>
    <row r="108" spans="1:24" x14ac:dyDescent="0.3">
      <c r="A108" t="s">
        <v>6</v>
      </c>
      <c r="B108" t="s">
        <v>17</v>
      </c>
      <c r="C108" t="s">
        <v>33</v>
      </c>
      <c r="D108" t="s">
        <v>39</v>
      </c>
      <c r="E108" s="9">
        <v>1660</v>
      </c>
      <c r="F108" s="7">
        <v>5</v>
      </c>
      <c r="G108" s="7">
        <v>125</v>
      </c>
      <c r="H108" s="7">
        <v>207500</v>
      </c>
      <c r="I108" s="5">
        <v>4150</v>
      </c>
      <c r="J108" s="5">
        <v>203350</v>
      </c>
      <c r="K108" s="7">
        <v>199200</v>
      </c>
      <c r="L108" s="5">
        <v>4150</v>
      </c>
      <c r="M108" s="1">
        <v>41579</v>
      </c>
      <c r="N108">
        <v>11</v>
      </c>
      <c r="O108" t="s">
        <v>28</v>
      </c>
      <c r="P108" t="s">
        <v>11</v>
      </c>
      <c r="Q108" s="5">
        <f>tbl_financials[[#This Row],[Net_Sales]]</f>
        <v>203350</v>
      </c>
      <c r="R108" s="5">
        <f>ROUND(tbl_financials[[#This Row],[Revenue]]*(0.12+MOD(ROW(),7)/100),2)</f>
        <v>30502.5</v>
      </c>
      <c r="S108" s="7">
        <f t="shared" si="1"/>
        <v>4348</v>
      </c>
      <c r="T108" s="5">
        <f>tbl_financials[[#This Row],[Gross_Profit]]-tbl_financials[[#This Row],[Operating_Expenses]]+tbl_financials[[#This Row],[Other_Income]]</f>
        <v>-22004.5</v>
      </c>
      <c r="U108" s="11">
        <f>IF(tbl_financials[[#This Row],[Revenue]]=0,0,tbl_financials[[#This Row],[Net_Profit]]/tbl_financials[[#This Row],[Revenue]])</f>
        <v>-0.10820998278829604</v>
      </c>
      <c r="V108" s="11" t="str">
        <f>tbl_financials[[#This Row],[Month_Name]] &amp; "_" &amp; tbl_financials[[#This Row],[Year]]</f>
        <v>November_2013</v>
      </c>
      <c r="W108" s="11" t="str">
        <f>tbl_financials[[#This Row],[Month_Name]] &amp; "_" &amp; (tbl_financials[[#This Row],[Year]]-1)</f>
        <v>November_2012</v>
      </c>
      <c r="X10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09" spans="1:24" x14ac:dyDescent="0.3">
      <c r="A109" t="s">
        <v>5</v>
      </c>
      <c r="B109" t="s">
        <v>13</v>
      </c>
      <c r="C109" t="s">
        <v>34</v>
      </c>
      <c r="D109" t="s">
        <v>39</v>
      </c>
      <c r="E109" s="9">
        <v>2363</v>
      </c>
      <c r="F109" s="7">
        <v>10</v>
      </c>
      <c r="G109" s="7">
        <v>15</v>
      </c>
      <c r="H109" s="7">
        <v>35445</v>
      </c>
      <c r="I109" s="5">
        <v>708.9</v>
      </c>
      <c r="J109" s="5">
        <v>34736.1</v>
      </c>
      <c r="K109" s="7">
        <v>23630</v>
      </c>
      <c r="L109" s="5">
        <v>11106.0999999999</v>
      </c>
      <c r="M109" s="1">
        <v>41671</v>
      </c>
      <c r="N109">
        <v>2</v>
      </c>
      <c r="O109" t="s">
        <v>19</v>
      </c>
      <c r="P109" t="s">
        <v>12</v>
      </c>
      <c r="Q109" s="5">
        <f>tbl_financials[[#This Row],[Net_Sales]]</f>
        <v>34736.1</v>
      </c>
      <c r="R109" s="5">
        <f>ROUND(tbl_financials[[#This Row],[Revenue]]*(0.12+MOD(ROW(),7)/100),2)</f>
        <v>5557.78</v>
      </c>
      <c r="S109" s="7">
        <f t="shared" si="1"/>
        <v>4379</v>
      </c>
      <c r="T109" s="5">
        <f>tbl_financials[[#This Row],[Gross_Profit]]-tbl_financials[[#This Row],[Operating_Expenses]]+tbl_financials[[#This Row],[Other_Income]]</f>
        <v>9927.3199999999015</v>
      </c>
      <c r="U109" s="11">
        <f>IF(tbl_financials[[#This Row],[Revenue]]=0,0,tbl_financials[[#This Row],[Net_Profit]]/tbl_financials[[#This Row],[Revenue]])</f>
        <v>0.28579259041745914</v>
      </c>
      <c r="V109" s="11" t="str">
        <f>tbl_financials[[#This Row],[Month_Name]] &amp; "_" &amp; tbl_financials[[#This Row],[Year]]</f>
        <v>February_2014</v>
      </c>
      <c r="W109" s="11" t="str">
        <f>tbl_financials[[#This Row],[Month_Name]] &amp; "_" &amp; (tbl_financials[[#This Row],[Year]]-1)</f>
        <v>February_2013</v>
      </c>
      <c r="X10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10" spans="1:24" x14ac:dyDescent="0.3">
      <c r="A110" t="s">
        <v>4</v>
      </c>
      <c r="B110" t="s">
        <v>15</v>
      </c>
      <c r="C110" t="s">
        <v>34</v>
      </c>
      <c r="D110" t="s">
        <v>39</v>
      </c>
      <c r="E110" s="9">
        <v>918</v>
      </c>
      <c r="F110" s="7">
        <v>10</v>
      </c>
      <c r="G110" s="7">
        <v>300</v>
      </c>
      <c r="H110" s="7">
        <v>275400</v>
      </c>
      <c r="I110" s="5">
        <v>5508</v>
      </c>
      <c r="J110" s="5">
        <v>269892</v>
      </c>
      <c r="K110" s="7">
        <v>229500</v>
      </c>
      <c r="L110" s="5">
        <v>40392</v>
      </c>
      <c r="M110" s="1">
        <v>41760</v>
      </c>
      <c r="N110">
        <v>5</v>
      </c>
      <c r="O110" t="s">
        <v>22</v>
      </c>
      <c r="P110" t="s">
        <v>12</v>
      </c>
      <c r="Q110" s="5">
        <f>tbl_financials[[#This Row],[Net_Sales]]</f>
        <v>269892</v>
      </c>
      <c r="R110" s="5">
        <f>ROUND(tbl_financials[[#This Row],[Revenue]]*(0.12+MOD(ROW(),7)/100),2)</f>
        <v>45881.64</v>
      </c>
      <c r="S110" s="7">
        <f t="shared" si="1"/>
        <v>4410</v>
      </c>
      <c r="T110" s="5">
        <f>tbl_financials[[#This Row],[Gross_Profit]]-tbl_financials[[#This Row],[Operating_Expenses]]+tbl_financials[[#This Row],[Other_Income]]</f>
        <v>-1079.6399999999994</v>
      </c>
      <c r="U110" s="11">
        <f>IF(tbl_financials[[#This Row],[Revenue]]=0,0,tbl_financials[[#This Row],[Net_Profit]]/tbl_financials[[#This Row],[Revenue]])</f>
        <v>-4.0002667733760149E-3</v>
      </c>
      <c r="V110" s="11" t="str">
        <f>tbl_financials[[#This Row],[Month_Name]] &amp; "_" &amp; tbl_financials[[#This Row],[Year]]</f>
        <v>May_2014</v>
      </c>
      <c r="W110" s="11" t="str">
        <f>tbl_financials[[#This Row],[Month_Name]] &amp; "_" &amp; (tbl_financials[[#This Row],[Year]]-1)</f>
        <v>May_2013</v>
      </c>
      <c r="X11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11" spans="1:24" x14ac:dyDescent="0.3">
      <c r="A111" t="s">
        <v>4</v>
      </c>
      <c r="B111" t="s">
        <v>16</v>
      </c>
      <c r="C111" t="s">
        <v>34</v>
      </c>
      <c r="D111" t="s">
        <v>39</v>
      </c>
      <c r="E111" s="9">
        <v>1728</v>
      </c>
      <c r="F111" s="7">
        <v>10</v>
      </c>
      <c r="G111" s="7">
        <v>300</v>
      </c>
      <c r="H111" s="7">
        <v>518400</v>
      </c>
      <c r="I111" s="5">
        <v>10368</v>
      </c>
      <c r="J111" s="5">
        <v>508032</v>
      </c>
      <c r="K111" s="7">
        <v>432000</v>
      </c>
      <c r="L111" s="5">
        <v>76032</v>
      </c>
      <c r="M111" s="1">
        <v>41760</v>
      </c>
      <c r="N111">
        <v>5</v>
      </c>
      <c r="O111" t="s">
        <v>22</v>
      </c>
      <c r="P111" t="s">
        <v>12</v>
      </c>
      <c r="Q111" s="5">
        <f>tbl_financials[[#This Row],[Net_Sales]]</f>
        <v>508032</v>
      </c>
      <c r="R111" s="5">
        <f>ROUND(tbl_financials[[#This Row],[Revenue]]*(0.12+MOD(ROW(),7)/100),2)</f>
        <v>91445.759999999995</v>
      </c>
      <c r="S111" s="7">
        <f t="shared" si="1"/>
        <v>4441</v>
      </c>
      <c r="T111" s="5">
        <f>tbl_financials[[#This Row],[Gross_Profit]]-tbl_financials[[#This Row],[Operating_Expenses]]+tbl_financials[[#This Row],[Other_Income]]</f>
        <v>-10972.759999999995</v>
      </c>
      <c r="U111" s="11">
        <f>IF(tbl_financials[[#This Row],[Revenue]]=0,0,tbl_financials[[#This Row],[Net_Profit]]/tbl_financials[[#This Row],[Revenue]])</f>
        <v>-2.1598560720584518E-2</v>
      </c>
      <c r="V111" s="11" t="str">
        <f>tbl_financials[[#This Row],[Month_Name]] &amp; "_" &amp; tbl_financials[[#This Row],[Year]]</f>
        <v>May_2014</v>
      </c>
      <c r="W111" s="11" t="str">
        <f>tbl_financials[[#This Row],[Month_Name]] &amp; "_" &amp; (tbl_financials[[#This Row],[Year]]-1)</f>
        <v>May_2013</v>
      </c>
      <c r="X11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12" spans="1:24" x14ac:dyDescent="0.3">
      <c r="A112" t="s">
        <v>8</v>
      </c>
      <c r="B112" t="s">
        <v>14</v>
      </c>
      <c r="C112" t="s">
        <v>34</v>
      </c>
      <c r="D112" t="s">
        <v>39</v>
      </c>
      <c r="E112" s="9">
        <v>1142</v>
      </c>
      <c r="F112" s="7">
        <v>10</v>
      </c>
      <c r="G112" s="7">
        <v>12</v>
      </c>
      <c r="H112" s="7">
        <v>13704</v>
      </c>
      <c r="I112" s="5">
        <v>274.08</v>
      </c>
      <c r="J112" s="5">
        <v>13429.92</v>
      </c>
      <c r="K112" s="7">
        <v>3426</v>
      </c>
      <c r="L112" s="5">
        <v>10003.92</v>
      </c>
      <c r="M112" s="1">
        <v>41791</v>
      </c>
      <c r="N112">
        <v>6</v>
      </c>
      <c r="O112" t="s">
        <v>23</v>
      </c>
      <c r="P112" t="s">
        <v>12</v>
      </c>
      <c r="Q112" s="5">
        <f>tbl_financials[[#This Row],[Net_Sales]]</f>
        <v>13429.92</v>
      </c>
      <c r="R112" s="5">
        <f>ROUND(tbl_financials[[#This Row],[Revenue]]*(0.12+MOD(ROW(),7)/100),2)</f>
        <v>1611.59</v>
      </c>
      <c r="S112" s="7">
        <f t="shared" si="1"/>
        <v>4472</v>
      </c>
      <c r="T112" s="5">
        <f>tbl_financials[[#This Row],[Gross_Profit]]-tbl_financials[[#This Row],[Operating_Expenses]]+tbl_financials[[#This Row],[Other_Income]]</f>
        <v>12864.33</v>
      </c>
      <c r="U112" s="11">
        <f>IF(tbl_financials[[#This Row],[Revenue]]=0,0,tbl_financials[[#This Row],[Net_Profit]]/tbl_financials[[#This Row],[Revenue]])</f>
        <v>0.95788582508309805</v>
      </c>
      <c r="V112" s="11" t="str">
        <f>tbl_financials[[#This Row],[Month_Name]] &amp; "_" &amp; tbl_financials[[#This Row],[Year]]</f>
        <v>June_2014</v>
      </c>
      <c r="W112" s="11" t="str">
        <f>tbl_financials[[#This Row],[Month_Name]] &amp; "_" &amp; (tbl_financials[[#This Row],[Year]]-1)</f>
        <v>June_2013</v>
      </c>
      <c r="X11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13" spans="1:24" x14ac:dyDescent="0.3">
      <c r="A113" t="s">
        <v>6</v>
      </c>
      <c r="B113" t="s">
        <v>17</v>
      </c>
      <c r="C113" t="s">
        <v>34</v>
      </c>
      <c r="D113" t="s">
        <v>39</v>
      </c>
      <c r="E113" s="9">
        <v>662</v>
      </c>
      <c r="F113" s="7">
        <v>10</v>
      </c>
      <c r="G113" s="7">
        <v>125</v>
      </c>
      <c r="H113" s="7">
        <v>82750</v>
      </c>
      <c r="I113" s="5">
        <v>1655</v>
      </c>
      <c r="J113" s="5">
        <v>81095</v>
      </c>
      <c r="K113" s="7">
        <v>79440</v>
      </c>
      <c r="L113" s="5">
        <v>1655</v>
      </c>
      <c r="M113" s="1">
        <v>41791</v>
      </c>
      <c r="N113">
        <v>6</v>
      </c>
      <c r="O113" t="s">
        <v>23</v>
      </c>
      <c r="P113" t="s">
        <v>12</v>
      </c>
      <c r="Q113" s="5">
        <f>tbl_financials[[#This Row],[Net_Sales]]</f>
        <v>81095</v>
      </c>
      <c r="R113" s="5">
        <f>ROUND(tbl_financials[[#This Row],[Revenue]]*(0.12+MOD(ROW(),7)/100),2)</f>
        <v>10542.35</v>
      </c>
      <c r="S113" s="7">
        <f t="shared" si="1"/>
        <v>4503</v>
      </c>
      <c r="T113" s="5">
        <f>tbl_financials[[#This Row],[Gross_Profit]]-tbl_financials[[#This Row],[Operating_Expenses]]+tbl_financials[[#This Row],[Other_Income]]</f>
        <v>-4384.3500000000004</v>
      </c>
      <c r="U113" s="11">
        <f>IF(tbl_financials[[#This Row],[Revenue]]=0,0,tbl_financials[[#This Row],[Net_Profit]]/tbl_financials[[#This Row],[Revenue]])</f>
        <v>-5.4064368949996923E-2</v>
      </c>
      <c r="V113" s="11" t="str">
        <f>tbl_financials[[#This Row],[Month_Name]] &amp; "_" &amp; tbl_financials[[#This Row],[Year]]</f>
        <v>June_2014</v>
      </c>
      <c r="W113" s="11" t="str">
        <f>tbl_financials[[#This Row],[Month_Name]] &amp; "_" &amp; (tbl_financials[[#This Row],[Year]]-1)</f>
        <v>June_2013</v>
      </c>
      <c r="X11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14" spans="1:24" x14ac:dyDescent="0.3">
      <c r="A114" t="s">
        <v>8</v>
      </c>
      <c r="B114" t="s">
        <v>13</v>
      </c>
      <c r="C114" t="s">
        <v>34</v>
      </c>
      <c r="D114" t="s">
        <v>39</v>
      </c>
      <c r="E114" s="9">
        <v>1295</v>
      </c>
      <c r="F114" s="7">
        <v>10</v>
      </c>
      <c r="G114" s="7">
        <v>12</v>
      </c>
      <c r="H114" s="7">
        <v>15540</v>
      </c>
      <c r="I114" s="5">
        <v>310.8</v>
      </c>
      <c r="J114" s="5">
        <v>15229.2</v>
      </c>
      <c r="K114" s="7">
        <v>3885</v>
      </c>
      <c r="L114" s="5">
        <v>11344.2</v>
      </c>
      <c r="M114" s="1">
        <v>41913</v>
      </c>
      <c r="N114">
        <v>10</v>
      </c>
      <c r="O114" t="s">
        <v>27</v>
      </c>
      <c r="P114" t="s">
        <v>12</v>
      </c>
      <c r="Q114" s="5">
        <f>tbl_financials[[#This Row],[Net_Sales]]</f>
        <v>15229.2</v>
      </c>
      <c r="R114" s="5">
        <f>ROUND(tbl_financials[[#This Row],[Revenue]]*(0.12+MOD(ROW(),7)/100),2)</f>
        <v>2132.09</v>
      </c>
      <c r="S114" s="7">
        <f t="shared" si="1"/>
        <v>4534</v>
      </c>
      <c r="T114" s="5">
        <f>tbl_financials[[#This Row],[Gross_Profit]]-tbl_financials[[#This Row],[Operating_Expenses]]+tbl_financials[[#This Row],[Other_Income]]</f>
        <v>13746.11</v>
      </c>
      <c r="U114" s="11">
        <f>IF(tbl_financials[[#This Row],[Revenue]]=0,0,tbl_financials[[#This Row],[Net_Profit]]/tbl_financials[[#This Row],[Revenue]])</f>
        <v>0.90261537047251328</v>
      </c>
      <c r="V114" s="11" t="str">
        <f>tbl_financials[[#This Row],[Month_Name]] &amp; "_" &amp; tbl_financials[[#This Row],[Year]]</f>
        <v>October_2014</v>
      </c>
      <c r="W114" s="11" t="str">
        <f>tbl_financials[[#This Row],[Month_Name]] &amp; "_" &amp; (tbl_financials[[#This Row],[Year]]-1)</f>
        <v>October_2013</v>
      </c>
      <c r="X11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-0.6468591304347826</v>
      </c>
    </row>
    <row r="115" spans="1:24" x14ac:dyDescent="0.3">
      <c r="A115" t="s">
        <v>6</v>
      </c>
      <c r="B115" t="s">
        <v>16</v>
      </c>
      <c r="C115" t="s">
        <v>34</v>
      </c>
      <c r="D115" t="s">
        <v>39</v>
      </c>
      <c r="E115" s="9">
        <v>809</v>
      </c>
      <c r="F115" s="7">
        <v>10</v>
      </c>
      <c r="G115" s="7">
        <v>125</v>
      </c>
      <c r="H115" s="7">
        <v>101125</v>
      </c>
      <c r="I115" s="5">
        <v>2022.5</v>
      </c>
      <c r="J115" s="5">
        <v>99102.5</v>
      </c>
      <c r="K115" s="7">
        <v>97080</v>
      </c>
      <c r="L115" s="5">
        <v>2022.5</v>
      </c>
      <c r="M115" s="1">
        <v>41548</v>
      </c>
      <c r="N115">
        <v>10</v>
      </c>
      <c r="O115" t="s">
        <v>27</v>
      </c>
      <c r="P115" t="s">
        <v>11</v>
      </c>
      <c r="Q115" s="5">
        <f>tbl_financials[[#This Row],[Net_Sales]]</f>
        <v>99102.5</v>
      </c>
      <c r="R115" s="5">
        <f>ROUND(tbl_financials[[#This Row],[Revenue]]*(0.12+MOD(ROW(),7)/100),2)</f>
        <v>14865.38</v>
      </c>
      <c r="S115" s="7">
        <f t="shared" si="1"/>
        <v>4565</v>
      </c>
      <c r="T115" s="5">
        <f>tbl_financials[[#This Row],[Gross_Profit]]-tbl_financials[[#This Row],[Operating_Expenses]]+tbl_financials[[#This Row],[Other_Income]]</f>
        <v>-8277.8799999999992</v>
      </c>
      <c r="U115" s="11">
        <f>IF(tbl_financials[[#This Row],[Revenue]]=0,0,tbl_financials[[#This Row],[Net_Profit]]/tbl_financials[[#This Row],[Revenue]])</f>
        <v>-8.3528468000302711E-2</v>
      </c>
      <c r="V115" s="11" t="str">
        <f>tbl_financials[[#This Row],[Month_Name]] &amp; "_" &amp; tbl_financials[[#This Row],[Year]]</f>
        <v>October_2013</v>
      </c>
      <c r="W115" s="11" t="str">
        <f>tbl_financials[[#This Row],[Month_Name]] &amp; "_" &amp; (tbl_financials[[#This Row],[Year]]-1)</f>
        <v>October_2012</v>
      </c>
      <c r="X11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16" spans="1:24" x14ac:dyDescent="0.3">
      <c r="A116" t="s">
        <v>6</v>
      </c>
      <c r="B116" t="s">
        <v>17</v>
      </c>
      <c r="C116" t="s">
        <v>34</v>
      </c>
      <c r="D116" t="s">
        <v>39</v>
      </c>
      <c r="E116" s="9">
        <v>2145</v>
      </c>
      <c r="F116" s="7">
        <v>10</v>
      </c>
      <c r="G116" s="7">
        <v>125</v>
      </c>
      <c r="H116" s="7">
        <v>268125</v>
      </c>
      <c r="I116" s="5">
        <v>5362.5</v>
      </c>
      <c r="J116" s="5">
        <v>262762.5</v>
      </c>
      <c r="K116" s="7">
        <v>257400</v>
      </c>
      <c r="L116" s="5">
        <v>5362.5</v>
      </c>
      <c r="M116" s="1">
        <v>41548</v>
      </c>
      <c r="N116">
        <v>10</v>
      </c>
      <c r="O116" t="s">
        <v>27</v>
      </c>
      <c r="P116" t="s">
        <v>11</v>
      </c>
      <c r="Q116" s="5">
        <f>tbl_financials[[#This Row],[Net_Sales]]</f>
        <v>262762.5</v>
      </c>
      <c r="R116" s="5">
        <f>ROUND(tbl_financials[[#This Row],[Revenue]]*(0.12+MOD(ROW(),7)/100),2)</f>
        <v>42042</v>
      </c>
      <c r="S116" s="7">
        <f t="shared" si="1"/>
        <v>4596</v>
      </c>
      <c r="T116" s="5">
        <f>tbl_financials[[#This Row],[Gross_Profit]]-tbl_financials[[#This Row],[Operating_Expenses]]+tbl_financials[[#This Row],[Other_Income]]</f>
        <v>-32083.5</v>
      </c>
      <c r="U116" s="11">
        <f>IF(tbl_financials[[#This Row],[Revenue]]=0,0,tbl_financials[[#This Row],[Net_Profit]]/tbl_financials[[#This Row],[Revenue]])</f>
        <v>-0.12210075638647067</v>
      </c>
      <c r="V116" s="11" t="str">
        <f>tbl_financials[[#This Row],[Month_Name]] &amp; "_" &amp; tbl_financials[[#This Row],[Year]]</f>
        <v>October_2013</v>
      </c>
      <c r="W116" s="11" t="str">
        <f>tbl_financials[[#This Row],[Month_Name]] &amp; "_" &amp; (tbl_financials[[#This Row],[Year]]-1)</f>
        <v>October_2012</v>
      </c>
      <c r="X11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17" spans="1:24" x14ac:dyDescent="0.3">
      <c r="A117" t="s">
        <v>8</v>
      </c>
      <c r="B117" t="s">
        <v>15</v>
      </c>
      <c r="C117" t="s">
        <v>34</v>
      </c>
      <c r="D117" t="s">
        <v>39</v>
      </c>
      <c r="E117" s="9">
        <v>1785</v>
      </c>
      <c r="F117" s="7">
        <v>10</v>
      </c>
      <c r="G117" s="7">
        <v>12</v>
      </c>
      <c r="H117" s="7">
        <v>21420</v>
      </c>
      <c r="I117" s="5">
        <v>428.4</v>
      </c>
      <c r="J117" s="5">
        <v>20991.599999999999</v>
      </c>
      <c r="K117" s="7">
        <v>5355</v>
      </c>
      <c r="L117" s="5">
        <v>15636.5999999999</v>
      </c>
      <c r="M117" s="1">
        <v>41579</v>
      </c>
      <c r="N117">
        <v>11</v>
      </c>
      <c r="O117" t="s">
        <v>28</v>
      </c>
      <c r="P117" t="s">
        <v>11</v>
      </c>
      <c r="Q117" s="5">
        <f>tbl_financials[[#This Row],[Net_Sales]]</f>
        <v>20991.599999999999</v>
      </c>
      <c r="R117" s="5">
        <f>ROUND(tbl_financials[[#This Row],[Revenue]]*(0.12+MOD(ROW(),7)/100),2)</f>
        <v>3568.57</v>
      </c>
      <c r="S117" s="7">
        <f t="shared" si="1"/>
        <v>4627</v>
      </c>
      <c r="T117" s="5">
        <f>tbl_financials[[#This Row],[Gross_Profit]]-tbl_financials[[#This Row],[Operating_Expenses]]+tbl_financials[[#This Row],[Other_Income]]</f>
        <v>16695.029999999901</v>
      </c>
      <c r="U117" s="11">
        <f>IF(tbl_financials[[#This Row],[Revenue]]=0,0,tbl_financials[[#This Row],[Net_Profit]]/tbl_financials[[#This Row],[Revenue]])</f>
        <v>0.79531955639398144</v>
      </c>
      <c r="V117" s="11" t="str">
        <f>tbl_financials[[#This Row],[Month_Name]] &amp; "_" &amp; tbl_financials[[#This Row],[Year]]</f>
        <v>November_2013</v>
      </c>
      <c r="W117" s="11" t="str">
        <f>tbl_financials[[#This Row],[Month_Name]] &amp; "_" &amp; (tbl_financials[[#This Row],[Year]]-1)</f>
        <v>November_2012</v>
      </c>
      <c r="X11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18" spans="1:24" x14ac:dyDescent="0.3">
      <c r="A118" t="s">
        <v>4</v>
      </c>
      <c r="B118" t="s">
        <v>13</v>
      </c>
      <c r="C118" t="s">
        <v>34</v>
      </c>
      <c r="D118" t="s">
        <v>39</v>
      </c>
      <c r="E118" s="9">
        <v>1916</v>
      </c>
      <c r="F118" s="7">
        <v>10</v>
      </c>
      <c r="G118" s="7">
        <v>300</v>
      </c>
      <c r="H118" s="7">
        <v>574800</v>
      </c>
      <c r="I118" s="5">
        <v>11496</v>
      </c>
      <c r="J118" s="5">
        <v>563304</v>
      </c>
      <c r="K118" s="7">
        <v>479000</v>
      </c>
      <c r="L118" s="5">
        <v>84304</v>
      </c>
      <c r="M118" s="1">
        <v>41974</v>
      </c>
      <c r="N118">
        <v>12</v>
      </c>
      <c r="O118" t="s">
        <v>29</v>
      </c>
      <c r="P118" t="s">
        <v>12</v>
      </c>
      <c r="Q118" s="5">
        <f>tbl_financials[[#This Row],[Net_Sales]]</f>
        <v>563304</v>
      </c>
      <c r="R118" s="5">
        <f>ROUND(tbl_financials[[#This Row],[Revenue]]*(0.12+MOD(ROW(),7)/100),2)</f>
        <v>101394.72</v>
      </c>
      <c r="S118" s="7">
        <f t="shared" si="1"/>
        <v>4658</v>
      </c>
      <c r="T118" s="5">
        <f>tbl_financials[[#This Row],[Gross_Profit]]-tbl_financials[[#This Row],[Operating_Expenses]]+tbl_financials[[#This Row],[Other_Income]]</f>
        <v>-12432.720000000001</v>
      </c>
      <c r="U118" s="11">
        <f>IF(tbl_financials[[#This Row],[Revenue]]=0,0,tbl_financials[[#This Row],[Net_Profit]]/tbl_financials[[#This Row],[Revenue]])</f>
        <v>-2.2071066422393593E-2</v>
      </c>
      <c r="V118" s="11" t="str">
        <f>tbl_financials[[#This Row],[Month_Name]] &amp; "_" &amp; tbl_financials[[#This Row],[Year]]</f>
        <v>December_2014</v>
      </c>
      <c r="W118" s="11" t="str">
        <f>tbl_financials[[#This Row],[Month_Name]] &amp; "_" &amp; (tbl_financials[[#This Row],[Year]]-1)</f>
        <v>December_2013</v>
      </c>
      <c r="X11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16.450557620817843</v>
      </c>
    </row>
    <row r="119" spans="1:24" x14ac:dyDescent="0.3">
      <c r="A119" t="s">
        <v>7</v>
      </c>
      <c r="B119" t="s">
        <v>13</v>
      </c>
      <c r="C119" t="s">
        <v>34</v>
      </c>
      <c r="D119" t="s">
        <v>39</v>
      </c>
      <c r="E119" s="9">
        <v>2852</v>
      </c>
      <c r="F119" s="7">
        <v>10</v>
      </c>
      <c r="G119" s="7">
        <v>350</v>
      </c>
      <c r="H119" s="7">
        <v>998200</v>
      </c>
      <c r="I119" s="5">
        <v>19964</v>
      </c>
      <c r="J119" s="5">
        <v>978236</v>
      </c>
      <c r="K119" s="7">
        <v>741520</v>
      </c>
      <c r="L119" s="5">
        <v>236716</v>
      </c>
      <c r="M119" s="1">
        <v>41974</v>
      </c>
      <c r="N119">
        <v>12</v>
      </c>
      <c r="O119" t="s">
        <v>29</v>
      </c>
      <c r="P119" t="s">
        <v>12</v>
      </c>
      <c r="Q119" s="5">
        <f>tbl_financials[[#This Row],[Net_Sales]]</f>
        <v>978236</v>
      </c>
      <c r="R119" s="5">
        <f>ROUND(tbl_financials[[#This Row],[Revenue]]*(0.12+MOD(ROW(),7)/100),2)</f>
        <v>117388.32</v>
      </c>
      <c r="S119" s="7">
        <f t="shared" si="1"/>
        <v>4689</v>
      </c>
      <c r="T119" s="5">
        <f>tbl_financials[[#This Row],[Gross_Profit]]-tbl_financials[[#This Row],[Operating_Expenses]]+tbl_financials[[#This Row],[Other_Income]]</f>
        <v>124016.68</v>
      </c>
      <c r="U119" s="11">
        <f>IF(tbl_financials[[#This Row],[Revenue]]=0,0,tbl_financials[[#This Row],[Net_Profit]]/tbl_financials[[#This Row],[Revenue]])</f>
        <v>0.12677582914552316</v>
      </c>
      <c r="V119" s="11" t="str">
        <f>tbl_financials[[#This Row],[Month_Name]] &amp; "_" &amp; tbl_financials[[#This Row],[Year]]</f>
        <v>December_2014</v>
      </c>
      <c r="W119" s="11" t="str">
        <f>tbl_financials[[#This Row],[Month_Name]] &amp; "_" &amp; (tbl_financials[[#This Row],[Year]]-1)</f>
        <v>December_2013</v>
      </c>
      <c r="X11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29.304708798017348</v>
      </c>
    </row>
    <row r="120" spans="1:24" x14ac:dyDescent="0.3">
      <c r="A120" t="s">
        <v>6</v>
      </c>
      <c r="B120" t="s">
        <v>13</v>
      </c>
      <c r="C120" t="s">
        <v>34</v>
      </c>
      <c r="D120" t="s">
        <v>39</v>
      </c>
      <c r="E120" s="9">
        <v>2729</v>
      </c>
      <c r="F120" s="7">
        <v>10</v>
      </c>
      <c r="G120" s="7">
        <v>125</v>
      </c>
      <c r="H120" s="7">
        <v>341125</v>
      </c>
      <c r="I120" s="5">
        <v>6822.5</v>
      </c>
      <c r="J120" s="5">
        <v>334302.5</v>
      </c>
      <c r="K120" s="7">
        <v>327480</v>
      </c>
      <c r="L120" s="5">
        <v>6822.5</v>
      </c>
      <c r="M120" s="1">
        <v>41974</v>
      </c>
      <c r="N120">
        <v>12</v>
      </c>
      <c r="O120" t="s">
        <v>29</v>
      </c>
      <c r="P120" t="s">
        <v>12</v>
      </c>
      <c r="Q120" s="5">
        <f>tbl_financials[[#This Row],[Net_Sales]]</f>
        <v>334302.5</v>
      </c>
      <c r="R120" s="5">
        <f>ROUND(tbl_financials[[#This Row],[Revenue]]*(0.12+MOD(ROW(),7)/100),2)</f>
        <v>43459.33</v>
      </c>
      <c r="S120" s="7">
        <f t="shared" si="1"/>
        <v>4720</v>
      </c>
      <c r="T120" s="5">
        <f>tbl_financials[[#This Row],[Gross_Profit]]-tbl_financials[[#This Row],[Operating_Expenses]]+tbl_financials[[#This Row],[Other_Income]]</f>
        <v>-31916.83</v>
      </c>
      <c r="U120" s="11">
        <f>IF(tbl_financials[[#This Row],[Revenue]]=0,0,tbl_financials[[#This Row],[Net_Profit]]/tbl_financials[[#This Row],[Revenue]])</f>
        <v>-9.5472902535876938E-2</v>
      </c>
      <c r="V120" s="11" t="str">
        <f>tbl_financials[[#This Row],[Month_Name]] &amp; "_" &amp; tbl_financials[[#This Row],[Year]]</f>
        <v>December_2014</v>
      </c>
      <c r="W120" s="11" t="str">
        <f>tbl_financials[[#This Row],[Month_Name]] &amp; "_" &amp; (tbl_financials[[#This Row],[Year]]-1)</f>
        <v>December_2013</v>
      </c>
      <c r="X12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9.3563351920693929</v>
      </c>
    </row>
    <row r="121" spans="1:24" x14ac:dyDescent="0.3">
      <c r="A121" t="s">
        <v>5</v>
      </c>
      <c r="B121" t="s">
        <v>14</v>
      </c>
      <c r="C121" t="s">
        <v>34</v>
      </c>
      <c r="D121" t="s">
        <v>39</v>
      </c>
      <c r="E121" s="9">
        <v>1925</v>
      </c>
      <c r="F121" s="7">
        <v>10</v>
      </c>
      <c r="G121" s="7">
        <v>15</v>
      </c>
      <c r="H121" s="7">
        <v>28875</v>
      </c>
      <c r="I121" s="5">
        <v>577.5</v>
      </c>
      <c r="J121" s="5">
        <v>28297.5</v>
      </c>
      <c r="K121" s="7">
        <v>19250</v>
      </c>
      <c r="L121" s="5">
        <v>9047.5</v>
      </c>
      <c r="M121" s="1">
        <v>41609</v>
      </c>
      <c r="N121">
        <v>12</v>
      </c>
      <c r="O121" t="s">
        <v>29</v>
      </c>
      <c r="P121" t="s">
        <v>11</v>
      </c>
      <c r="Q121" s="5">
        <f>tbl_financials[[#This Row],[Net_Sales]]</f>
        <v>28297.5</v>
      </c>
      <c r="R121" s="5">
        <f>ROUND(tbl_financials[[#This Row],[Revenue]]*(0.12+MOD(ROW(),7)/100),2)</f>
        <v>3961.65</v>
      </c>
      <c r="S121" s="7">
        <f t="shared" si="1"/>
        <v>4751</v>
      </c>
      <c r="T121" s="5">
        <f>tbl_financials[[#This Row],[Gross_Profit]]-tbl_financials[[#This Row],[Operating_Expenses]]+tbl_financials[[#This Row],[Other_Income]]</f>
        <v>9836.85</v>
      </c>
      <c r="U121" s="11">
        <f>IF(tbl_financials[[#This Row],[Revenue]]=0,0,tbl_financials[[#This Row],[Net_Profit]]/tbl_financials[[#This Row],[Revenue]])</f>
        <v>0.34762258150013253</v>
      </c>
      <c r="V121" s="11" t="str">
        <f>tbl_financials[[#This Row],[Month_Name]] &amp; "_" &amp; tbl_financials[[#This Row],[Year]]</f>
        <v>December_2013</v>
      </c>
      <c r="W121" s="11" t="str">
        <f>tbl_financials[[#This Row],[Month_Name]] &amp; "_" &amp; (tbl_financials[[#This Row],[Year]]-1)</f>
        <v>December_2012</v>
      </c>
      <c r="X12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22" spans="1:24" x14ac:dyDescent="0.3">
      <c r="A122" t="s">
        <v>7</v>
      </c>
      <c r="B122" t="s">
        <v>14</v>
      </c>
      <c r="C122" t="s">
        <v>34</v>
      </c>
      <c r="D122" t="s">
        <v>39</v>
      </c>
      <c r="E122" s="9">
        <v>2013</v>
      </c>
      <c r="F122" s="7">
        <v>10</v>
      </c>
      <c r="G122" s="7">
        <v>7</v>
      </c>
      <c r="H122" s="7">
        <v>14091</v>
      </c>
      <c r="I122" s="5">
        <v>281.82</v>
      </c>
      <c r="J122" s="5">
        <v>13809.18</v>
      </c>
      <c r="K122" s="7">
        <v>10065</v>
      </c>
      <c r="L122" s="5">
        <v>3744.18</v>
      </c>
      <c r="M122" s="1">
        <v>41609</v>
      </c>
      <c r="N122">
        <v>12</v>
      </c>
      <c r="O122" t="s">
        <v>29</v>
      </c>
      <c r="P122" t="s">
        <v>11</v>
      </c>
      <c r="Q122" s="5">
        <f>tbl_financials[[#This Row],[Net_Sales]]</f>
        <v>13809.18</v>
      </c>
      <c r="R122" s="5">
        <f>ROUND(tbl_financials[[#This Row],[Revenue]]*(0.12+MOD(ROW(),7)/100),2)</f>
        <v>2071.38</v>
      </c>
      <c r="S122" s="7">
        <f t="shared" si="1"/>
        <v>4782</v>
      </c>
      <c r="T122" s="5">
        <f>tbl_financials[[#This Row],[Gross_Profit]]-tbl_financials[[#This Row],[Operating_Expenses]]+tbl_financials[[#This Row],[Other_Income]]</f>
        <v>6454.7999999999993</v>
      </c>
      <c r="U122" s="11">
        <f>IF(tbl_financials[[#This Row],[Revenue]]=0,0,tbl_financials[[#This Row],[Net_Profit]]/tbl_financials[[#This Row],[Revenue]])</f>
        <v>0.46742818907422445</v>
      </c>
      <c r="V122" s="11" t="str">
        <f>tbl_financials[[#This Row],[Month_Name]] &amp; "_" &amp; tbl_financials[[#This Row],[Year]]</f>
        <v>December_2013</v>
      </c>
      <c r="W122" s="11" t="str">
        <f>tbl_financials[[#This Row],[Month_Name]] &amp; "_" &amp; (tbl_financials[[#This Row],[Year]]-1)</f>
        <v>December_2012</v>
      </c>
      <c r="X12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23" spans="1:24" x14ac:dyDescent="0.3">
      <c r="A123" t="s">
        <v>8</v>
      </c>
      <c r="B123" t="s">
        <v>15</v>
      </c>
      <c r="C123" t="s">
        <v>34</v>
      </c>
      <c r="D123" t="s">
        <v>39</v>
      </c>
      <c r="E123" s="9">
        <v>1055</v>
      </c>
      <c r="F123" s="7">
        <v>10</v>
      </c>
      <c r="G123" s="7">
        <v>12</v>
      </c>
      <c r="H123" s="7">
        <v>12660</v>
      </c>
      <c r="I123" s="5">
        <v>253.2</v>
      </c>
      <c r="J123" s="5">
        <v>12406.8</v>
      </c>
      <c r="K123" s="7">
        <v>3165</v>
      </c>
      <c r="L123" s="5">
        <v>9241.7999999999993</v>
      </c>
      <c r="M123" s="1">
        <v>41974</v>
      </c>
      <c r="N123">
        <v>12</v>
      </c>
      <c r="O123" t="s">
        <v>29</v>
      </c>
      <c r="P123" t="s">
        <v>12</v>
      </c>
      <c r="Q123" s="5">
        <f>tbl_financials[[#This Row],[Net_Sales]]</f>
        <v>12406.8</v>
      </c>
      <c r="R123" s="5">
        <f>ROUND(tbl_financials[[#This Row],[Revenue]]*(0.12+MOD(ROW(),7)/100),2)</f>
        <v>1985.09</v>
      </c>
      <c r="S123" s="7">
        <f t="shared" si="1"/>
        <v>4813</v>
      </c>
      <c r="T123" s="5">
        <f>tbl_financials[[#This Row],[Gross_Profit]]-tbl_financials[[#This Row],[Operating_Expenses]]+tbl_financials[[#This Row],[Other_Income]]</f>
        <v>12069.71</v>
      </c>
      <c r="U123" s="11">
        <f>IF(tbl_financials[[#This Row],[Revenue]]=0,0,tbl_financials[[#This Row],[Net_Profit]]/tbl_financials[[#This Row],[Revenue]])</f>
        <v>0.97283022213624781</v>
      </c>
      <c r="V123" s="11" t="str">
        <f>tbl_financials[[#This Row],[Month_Name]] &amp; "_" &amp; tbl_financials[[#This Row],[Year]]</f>
        <v>December_2014</v>
      </c>
      <c r="W123" s="11" t="str">
        <f>tbl_financials[[#This Row],[Month_Name]] &amp; "_" &amp; (tbl_financials[[#This Row],[Year]]-1)</f>
        <v>December_2013</v>
      </c>
      <c r="X12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-0.61565055762081788</v>
      </c>
    </row>
    <row r="124" spans="1:24" x14ac:dyDescent="0.3">
      <c r="A124" t="s">
        <v>8</v>
      </c>
      <c r="B124" t="s">
        <v>17</v>
      </c>
      <c r="C124" t="s">
        <v>34</v>
      </c>
      <c r="D124" t="s">
        <v>39</v>
      </c>
      <c r="E124" s="9">
        <v>1084</v>
      </c>
      <c r="F124" s="7">
        <v>10</v>
      </c>
      <c r="G124" s="7">
        <v>12</v>
      </c>
      <c r="H124" s="7">
        <v>13008</v>
      </c>
      <c r="I124" s="5">
        <v>260.16000000000003</v>
      </c>
      <c r="J124" s="5">
        <v>12747.84</v>
      </c>
      <c r="K124" s="7">
        <v>3252</v>
      </c>
      <c r="L124" s="5">
        <v>9495.84</v>
      </c>
      <c r="M124" s="1">
        <v>41974</v>
      </c>
      <c r="N124">
        <v>12</v>
      </c>
      <c r="O124" t="s">
        <v>29</v>
      </c>
      <c r="P124" t="s">
        <v>12</v>
      </c>
      <c r="Q124" s="5">
        <f>tbl_financials[[#This Row],[Net_Sales]]</f>
        <v>12747.84</v>
      </c>
      <c r="R124" s="5">
        <f>ROUND(tbl_financials[[#This Row],[Revenue]]*(0.12+MOD(ROW(),7)/100),2)</f>
        <v>2167.13</v>
      </c>
      <c r="S124" s="7">
        <f t="shared" si="1"/>
        <v>4844</v>
      </c>
      <c r="T124" s="5">
        <f>tbl_financials[[#This Row],[Gross_Profit]]-tbl_financials[[#This Row],[Operating_Expenses]]+tbl_financials[[#This Row],[Other_Income]]</f>
        <v>12172.71</v>
      </c>
      <c r="U124" s="11">
        <f>IF(tbl_financials[[#This Row],[Revenue]]=0,0,tbl_financials[[#This Row],[Net_Profit]]/tbl_financials[[#This Row],[Revenue]])</f>
        <v>0.954884121545297</v>
      </c>
      <c r="V124" s="11" t="str">
        <f>tbl_financials[[#This Row],[Month_Name]] &amp; "_" &amp; tbl_financials[[#This Row],[Year]]</f>
        <v>December_2014</v>
      </c>
      <c r="W124" s="11" t="str">
        <f>tbl_financials[[#This Row],[Month_Name]] &amp; "_" &amp; (tbl_financials[[#This Row],[Year]]-1)</f>
        <v>December_2013</v>
      </c>
      <c r="X12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-0.60508550185873611</v>
      </c>
    </row>
    <row r="125" spans="1:24" x14ac:dyDescent="0.3">
      <c r="A125" t="s">
        <v>7</v>
      </c>
      <c r="B125" t="s">
        <v>14</v>
      </c>
      <c r="C125" t="s">
        <v>35</v>
      </c>
      <c r="D125" t="s">
        <v>39</v>
      </c>
      <c r="E125" s="9">
        <v>1566</v>
      </c>
      <c r="F125" s="7">
        <v>120</v>
      </c>
      <c r="G125" s="7">
        <v>20</v>
      </c>
      <c r="H125" s="7">
        <v>31320</v>
      </c>
      <c r="I125" s="5">
        <v>626.4</v>
      </c>
      <c r="J125" s="5">
        <v>30693.599999999999</v>
      </c>
      <c r="K125" s="7">
        <v>15660</v>
      </c>
      <c r="L125" s="5">
        <v>15033.5999999999</v>
      </c>
      <c r="M125" s="1">
        <v>41913</v>
      </c>
      <c r="N125">
        <v>10</v>
      </c>
      <c r="O125" t="s">
        <v>27</v>
      </c>
      <c r="P125" t="s">
        <v>12</v>
      </c>
      <c r="Q125" s="5">
        <f>tbl_financials[[#This Row],[Net_Sales]]</f>
        <v>30693.599999999999</v>
      </c>
      <c r="R125" s="5">
        <f>ROUND(tbl_financials[[#This Row],[Revenue]]*(0.12+MOD(ROW(),7)/100),2)</f>
        <v>5524.85</v>
      </c>
      <c r="S125" s="7">
        <f t="shared" si="1"/>
        <v>4875</v>
      </c>
      <c r="T125" s="5">
        <f>tbl_financials[[#This Row],[Gross_Profit]]-tbl_financials[[#This Row],[Operating_Expenses]]+tbl_financials[[#This Row],[Other_Income]]</f>
        <v>14383.7499999999</v>
      </c>
      <c r="U125" s="11">
        <f>IF(tbl_financials[[#This Row],[Revenue]]=0,0,tbl_financials[[#This Row],[Net_Profit]]/tbl_financials[[#This Row],[Revenue]])</f>
        <v>0.46862375218286223</v>
      </c>
      <c r="V125" s="11" t="str">
        <f>tbl_financials[[#This Row],[Month_Name]] &amp; "_" &amp; tbl_financials[[#This Row],[Year]]</f>
        <v>October_2014</v>
      </c>
      <c r="W125" s="11" t="str">
        <f>tbl_financials[[#This Row],[Month_Name]] &amp; "_" &amp; (tbl_financials[[#This Row],[Year]]-1)</f>
        <v>October_2013</v>
      </c>
      <c r="X12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-0.28826434782608701</v>
      </c>
    </row>
    <row r="126" spans="1:24" x14ac:dyDescent="0.3">
      <c r="A126" t="s">
        <v>7</v>
      </c>
      <c r="B126" t="s">
        <v>16</v>
      </c>
      <c r="C126" t="s">
        <v>35</v>
      </c>
      <c r="D126" t="s">
        <v>39</v>
      </c>
      <c r="E126" s="9">
        <v>2966</v>
      </c>
      <c r="F126" s="7">
        <v>120</v>
      </c>
      <c r="G126" s="7">
        <v>350</v>
      </c>
      <c r="H126" s="7">
        <v>1038100</v>
      </c>
      <c r="I126" s="5">
        <v>20762</v>
      </c>
      <c r="J126" s="5">
        <v>1017338</v>
      </c>
      <c r="K126" s="7">
        <v>771160</v>
      </c>
      <c r="L126" s="5">
        <v>246178</v>
      </c>
      <c r="M126" s="1">
        <v>41548</v>
      </c>
      <c r="N126">
        <v>10</v>
      </c>
      <c r="O126" t="s">
        <v>27</v>
      </c>
      <c r="P126" t="s">
        <v>11</v>
      </c>
      <c r="Q126" s="5">
        <f>tbl_financials[[#This Row],[Net_Sales]]</f>
        <v>1017338</v>
      </c>
      <c r="R126" s="5">
        <f>ROUND(tbl_financials[[#This Row],[Revenue]]*(0.12+MOD(ROW(),7)/100),2)</f>
        <v>122080.56</v>
      </c>
      <c r="S126" s="7">
        <f t="shared" si="1"/>
        <v>4906</v>
      </c>
      <c r="T126" s="5">
        <f>tbl_financials[[#This Row],[Gross_Profit]]-tbl_financials[[#This Row],[Operating_Expenses]]+tbl_financials[[#This Row],[Other_Income]]</f>
        <v>129003.44</v>
      </c>
      <c r="U126" s="11">
        <f>IF(tbl_financials[[#This Row],[Revenue]]=0,0,tbl_financials[[#This Row],[Net_Profit]]/tbl_financials[[#This Row],[Revenue]])</f>
        <v>0.12680489670099809</v>
      </c>
      <c r="V126" s="11" t="str">
        <f>tbl_financials[[#This Row],[Month_Name]] &amp; "_" &amp; tbl_financials[[#This Row],[Year]]</f>
        <v>October_2013</v>
      </c>
      <c r="W126" s="11" t="str">
        <f>tbl_financials[[#This Row],[Month_Name]] &amp; "_" &amp; (tbl_financials[[#This Row],[Year]]-1)</f>
        <v>October_2012</v>
      </c>
      <c r="X12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27" spans="1:24" x14ac:dyDescent="0.3">
      <c r="A127" t="s">
        <v>7</v>
      </c>
      <c r="B127" t="s">
        <v>16</v>
      </c>
      <c r="C127" t="s">
        <v>35</v>
      </c>
      <c r="D127" t="s">
        <v>39</v>
      </c>
      <c r="E127" s="9">
        <v>2877</v>
      </c>
      <c r="F127" s="7">
        <v>120</v>
      </c>
      <c r="G127" s="7">
        <v>350</v>
      </c>
      <c r="H127" s="7">
        <v>1006950</v>
      </c>
      <c r="I127" s="5">
        <v>20139</v>
      </c>
      <c r="J127" s="5">
        <v>986811</v>
      </c>
      <c r="K127" s="7">
        <v>748020</v>
      </c>
      <c r="L127" s="5">
        <v>238791</v>
      </c>
      <c r="M127" s="1">
        <v>41913</v>
      </c>
      <c r="N127">
        <v>10</v>
      </c>
      <c r="O127" t="s">
        <v>27</v>
      </c>
      <c r="P127" t="s">
        <v>12</v>
      </c>
      <c r="Q127" s="5">
        <f>tbl_financials[[#This Row],[Net_Sales]]</f>
        <v>986811</v>
      </c>
      <c r="R127" s="5">
        <f>ROUND(tbl_financials[[#This Row],[Revenue]]*(0.12+MOD(ROW(),7)/100),2)</f>
        <v>128285.43</v>
      </c>
      <c r="S127" s="7">
        <f t="shared" si="1"/>
        <v>4937</v>
      </c>
      <c r="T127" s="5">
        <f>tbl_financials[[#This Row],[Gross_Profit]]-tbl_financials[[#This Row],[Operating_Expenses]]+tbl_financials[[#This Row],[Other_Income]]</f>
        <v>115442.57</v>
      </c>
      <c r="U127" s="11">
        <f>IF(tbl_financials[[#This Row],[Revenue]]=0,0,tbl_financials[[#This Row],[Net_Profit]]/tbl_financials[[#This Row],[Revenue]])</f>
        <v>0.11698549164936346</v>
      </c>
      <c r="V127" s="11" t="str">
        <f>tbl_financials[[#This Row],[Month_Name]] &amp; "_" &amp; tbl_financials[[#This Row],[Year]]</f>
        <v>October_2014</v>
      </c>
      <c r="W127" s="11" t="str">
        <f>tbl_financials[[#This Row],[Month_Name]] &amp; "_" &amp; (tbl_financials[[#This Row],[Year]]-1)</f>
        <v>October_2013</v>
      </c>
      <c r="X12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21.88257391304348</v>
      </c>
    </row>
    <row r="128" spans="1:24" x14ac:dyDescent="0.3">
      <c r="A128" t="s">
        <v>6</v>
      </c>
      <c r="B128" t="s">
        <v>16</v>
      </c>
      <c r="C128" t="s">
        <v>35</v>
      </c>
      <c r="D128" t="s">
        <v>39</v>
      </c>
      <c r="E128" s="9">
        <v>809</v>
      </c>
      <c r="F128" s="7">
        <v>120</v>
      </c>
      <c r="G128" s="7">
        <v>125</v>
      </c>
      <c r="H128" s="7">
        <v>101125</v>
      </c>
      <c r="I128" s="5">
        <v>2022.5</v>
      </c>
      <c r="J128" s="5">
        <v>99102.5</v>
      </c>
      <c r="K128" s="7">
        <v>97080</v>
      </c>
      <c r="L128" s="5">
        <v>2022.5</v>
      </c>
      <c r="M128" s="1">
        <v>41548</v>
      </c>
      <c r="N128">
        <v>10</v>
      </c>
      <c r="O128" t="s">
        <v>27</v>
      </c>
      <c r="P128" t="s">
        <v>11</v>
      </c>
      <c r="Q128" s="5">
        <f>tbl_financials[[#This Row],[Net_Sales]]</f>
        <v>99102.5</v>
      </c>
      <c r="R128" s="5">
        <f>ROUND(tbl_financials[[#This Row],[Revenue]]*(0.12+MOD(ROW(),7)/100),2)</f>
        <v>13874.35</v>
      </c>
      <c r="S128" s="7">
        <f t="shared" si="1"/>
        <v>4968</v>
      </c>
      <c r="T128" s="5">
        <f>tbl_financials[[#This Row],[Gross_Profit]]-tbl_financials[[#This Row],[Operating_Expenses]]+tbl_financials[[#This Row],[Other_Income]]</f>
        <v>-6883.85</v>
      </c>
      <c r="U128" s="11">
        <f>IF(tbl_financials[[#This Row],[Revenue]]=0,0,tbl_financials[[#This Row],[Net_Profit]]/tbl_financials[[#This Row],[Revenue]])</f>
        <v>-6.9461920738629196E-2</v>
      </c>
      <c r="V128" s="11" t="str">
        <f>tbl_financials[[#This Row],[Month_Name]] &amp; "_" &amp; tbl_financials[[#This Row],[Year]]</f>
        <v>October_2013</v>
      </c>
      <c r="W128" s="11" t="str">
        <f>tbl_financials[[#This Row],[Month_Name]] &amp; "_" &amp; (tbl_financials[[#This Row],[Year]]-1)</f>
        <v>October_2012</v>
      </c>
      <c r="X12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29" spans="1:24" x14ac:dyDescent="0.3">
      <c r="A129" t="s">
        <v>6</v>
      </c>
      <c r="B129" t="s">
        <v>17</v>
      </c>
      <c r="C129" t="s">
        <v>35</v>
      </c>
      <c r="D129" t="s">
        <v>39</v>
      </c>
      <c r="E129" s="9">
        <v>2145</v>
      </c>
      <c r="F129" s="7">
        <v>120</v>
      </c>
      <c r="G129" s="7">
        <v>125</v>
      </c>
      <c r="H129" s="7">
        <v>268125</v>
      </c>
      <c r="I129" s="5">
        <v>5362.5</v>
      </c>
      <c r="J129" s="5">
        <v>262762.5</v>
      </c>
      <c r="K129" s="7">
        <v>257400</v>
      </c>
      <c r="L129" s="5">
        <v>5362.5</v>
      </c>
      <c r="M129" s="1">
        <v>41548</v>
      </c>
      <c r="N129">
        <v>10</v>
      </c>
      <c r="O129" t="s">
        <v>27</v>
      </c>
      <c r="P129" t="s">
        <v>11</v>
      </c>
      <c r="Q129" s="5">
        <f>tbl_financials[[#This Row],[Net_Sales]]</f>
        <v>262762.5</v>
      </c>
      <c r="R129" s="5">
        <f>ROUND(tbl_financials[[#This Row],[Revenue]]*(0.12+MOD(ROW(),7)/100),2)</f>
        <v>39414.379999999997</v>
      </c>
      <c r="S129" s="7">
        <f t="shared" si="1"/>
        <v>4999</v>
      </c>
      <c r="T129" s="5">
        <f>tbl_financials[[#This Row],[Gross_Profit]]-tbl_financials[[#This Row],[Operating_Expenses]]+tbl_financials[[#This Row],[Other_Income]]</f>
        <v>-29052.879999999997</v>
      </c>
      <c r="U129" s="11">
        <f>IF(tbl_financials[[#This Row],[Revenue]]=0,0,tbl_financials[[#This Row],[Net_Profit]]/tbl_financials[[#This Row],[Revenue]])</f>
        <v>-0.11056707102421387</v>
      </c>
      <c r="V129" s="11" t="str">
        <f>tbl_financials[[#This Row],[Month_Name]] &amp; "_" &amp; tbl_financials[[#This Row],[Year]]</f>
        <v>October_2013</v>
      </c>
      <c r="W129" s="11" t="str">
        <f>tbl_financials[[#This Row],[Month_Name]] &amp; "_" &amp; (tbl_financials[[#This Row],[Year]]-1)</f>
        <v>October_2012</v>
      </c>
      <c r="X12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30" spans="1:24" x14ac:dyDescent="0.3">
      <c r="A130" t="s">
        <v>8</v>
      </c>
      <c r="B130" t="s">
        <v>15</v>
      </c>
      <c r="C130" t="s">
        <v>35</v>
      </c>
      <c r="D130" t="s">
        <v>39</v>
      </c>
      <c r="E130" s="9">
        <v>1055</v>
      </c>
      <c r="F130" s="7">
        <v>120</v>
      </c>
      <c r="G130" s="7">
        <v>12</v>
      </c>
      <c r="H130" s="7">
        <v>12660</v>
      </c>
      <c r="I130" s="5">
        <v>253.2</v>
      </c>
      <c r="J130" s="5">
        <v>12406.8</v>
      </c>
      <c r="K130" s="7">
        <v>3165</v>
      </c>
      <c r="L130" s="5">
        <v>9241.7999999999993</v>
      </c>
      <c r="M130" s="1">
        <v>41974</v>
      </c>
      <c r="N130">
        <v>12</v>
      </c>
      <c r="O130" t="s">
        <v>29</v>
      </c>
      <c r="P130" t="s">
        <v>12</v>
      </c>
      <c r="Q130" s="5">
        <f>tbl_financials[[#This Row],[Net_Sales]]</f>
        <v>12406.8</v>
      </c>
      <c r="R130" s="5">
        <f>ROUND(tbl_financials[[#This Row],[Revenue]]*(0.12+MOD(ROW(),7)/100),2)</f>
        <v>1985.09</v>
      </c>
      <c r="S130" s="7">
        <f t="shared" ref="S130:S193" si="2">ROUND(1000+MOD(ROW()*31,9000),0)</f>
        <v>5030</v>
      </c>
      <c r="T130" s="5">
        <f>tbl_financials[[#This Row],[Gross_Profit]]-tbl_financials[[#This Row],[Operating_Expenses]]+tbl_financials[[#This Row],[Other_Income]]</f>
        <v>12286.71</v>
      </c>
      <c r="U130" s="11">
        <f>IF(tbl_financials[[#This Row],[Revenue]]=0,0,tbl_financials[[#This Row],[Net_Profit]]/tbl_financials[[#This Row],[Revenue]])</f>
        <v>0.990320630621917</v>
      </c>
      <c r="V130" s="11" t="str">
        <f>tbl_financials[[#This Row],[Month_Name]] &amp; "_" &amp; tbl_financials[[#This Row],[Year]]</f>
        <v>December_2014</v>
      </c>
      <c r="W130" s="11" t="str">
        <f>tbl_financials[[#This Row],[Month_Name]] &amp; "_" &amp; (tbl_financials[[#This Row],[Year]]-1)</f>
        <v>December_2013</v>
      </c>
      <c r="X13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-0.61565055762081788</v>
      </c>
    </row>
    <row r="131" spans="1:24" x14ac:dyDescent="0.3">
      <c r="A131" t="s">
        <v>7</v>
      </c>
      <c r="B131" t="s">
        <v>17</v>
      </c>
      <c r="C131" t="s">
        <v>35</v>
      </c>
      <c r="D131" t="s">
        <v>39</v>
      </c>
      <c r="E131" s="9">
        <v>544</v>
      </c>
      <c r="F131" s="7">
        <v>120</v>
      </c>
      <c r="G131" s="7">
        <v>20</v>
      </c>
      <c r="H131" s="7">
        <v>10880</v>
      </c>
      <c r="I131" s="5">
        <v>217.6</v>
      </c>
      <c r="J131" s="5">
        <v>10662.4</v>
      </c>
      <c r="K131" s="7">
        <v>5440</v>
      </c>
      <c r="L131" s="5">
        <v>5222.3999999999996</v>
      </c>
      <c r="M131" s="1">
        <v>41609</v>
      </c>
      <c r="N131">
        <v>12</v>
      </c>
      <c r="O131" t="s">
        <v>29</v>
      </c>
      <c r="P131" t="s">
        <v>11</v>
      </c>
      <c r="Q131" s="5">
        <f>tbl_financials[[#This Row],[Net_Sales]]</f>
        <v>10662.4</v>
      </c>
      <c r="R131" s="5">
        <f>ROUND(tbl_financials[[#This Row],[Revenue]]*(0.12+MOD(ROW(),7)/100),2)</f>
        <v>1812.61</v>
      </c>
      <c r="S131" s="7">
        <f t="shared" si="2"/>
        <v>5061</v>
      </c>
      <c r="T131" s="5">
        <f>tbl_financials[[#This Row],[Gross_Profit]]-tbl_financials[[#This Row],[Operating_Expenses]]+tbl_financials[[#This Row],[Other_Income]]</f>
        <v>8470.7900000000009</v>
      </c>
      <c r="U131" s="11">
        <f>IF(tbl_financials[[#This Row],[Revenue]]=0,0,tbl_financials[[#This Row],[Net_Profit]]/tbl_financials[[#This Row],[Revenue]])</f>
        <v>0.79445434423769523</v>
      </c>
      <c r="V131" s="11" t="str">
        <f>tbl_financials[[#This Row],[Month_Name]] &amp; "_" &amp; tbl_financials[[#This Row],[Year]]</f>
        <v>December_2013</v>
      </c>
      <c r="W131" s="11" t="str">
        <f>tbl_financials[[#This Row],[Month_Name]] &amp; "_" &amp; (tbl_financials[[#This Row],[Year]]-1)</f>
        <v>December_2012</v>
      </c>
      <c r="X13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32" spans="1:24" x14ac:dyDescent="0.3">
      <c r="A132" t="s">
        <v>8</v>
      </c>
      <c r="B132" t="s">
        <v>17</v>
      </c>
      <c r="C132" t="s">
        <v>35</v>
      </c>
      <c r="D132" t="s">
        <v>39</v>
      </c>
      <c r="E132" s="9">
        <v>1084</v>
      </c>
      <c r="F132" s="7">
        <v>120</v>
      </c>
      <c r="G132" s="7">
        <v>12</v>
      </c>
      <c r="H132" s="7">
        <v>13008</v>
      </c>
      <c r="I132" s="5">
        <v>260.16000000000003</v>
      </c>
      <c r="J132" s="5">
        <v>12747.84</v>
      </c>
      <c r="K132" s="7">
        <v>3252</v>
      </c>
      <c r="L132" s="5">
        <v>9495.84</v>
      </c>
      <c r="M132" s="1">
        <v>41974</v>
      </c>
      <c r="N132">
        <v>12</v>
      </c>
      <c r="O132" t="s">
        <v>29</v>
      </c>
      <c r="P132" t="s">
        <v>12</v>
      </c>
      <c r="Q132" s="5">
        <f>tbl_financials[[#This Row],[Net_Sales]]</f>
        <v>12747.84</v>
      </c>
      <c r="R132" s="5">
        <f>ROUND(tbl_financials[[#This Row],[Revenue]]*(0.12+MOD(ROW(),7)/100),2)</f>
        <v>2294.61</v>
      </c>
      <c r="S132" s="7">
        <f t="shared" si="2"/>
        <v>5092</v>
      </c>
      <c r="T132" s="5">
        <f>tbl_financials[[#This Row],[Gross_Profit]]-tbl_financials[[#This Row],[Operating_Expenses]]+tbl_financials[[#This Row],[Other_Income]]</f>
        <v>12293.23</v>
      </c>
      <c r="U132" s="11">
        <f>IF(tbl_financials[[#This Row],[Revenue]]=0,0,tbl_financials[[#This Row],[Net_Profit]]/tbl_financials[[#This Row],[Revenue]])</f>
        <v>0.96433827220925261</v>
      </c>
      <c r="V132" s="11" t="str">
        <f>tbl_financials[[#This Row],[Month_Name]] &amp; "_" &amp; tbl_financials[[#This Row],[Year]]</f>
        <v>December_2014</v>
      </c>
      <c r="W132" s="11" t="str">
        <f>tbl_financials[[#This Row],[Month_Name]] &amp; "_" &amp; (tbl_financials[[#This Row],[Year]]-1)</f>
        <v>December_2013</v>
      </c>
      <c r="X13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-0.60508550185873611</v>
      </c>
    </row>
    <row r="133" spans="1:24" x14ac:dyDescent="0.3">
      <c r="A133" t="s">
        <v>6</v>
      </c>
      <c r="B133" t="s">
        <v>17</v>
      </c>
      <c r="C133" t="s">
        <v>36</v>
      </c>
      <c r="D133" t="s">
        <v>39</v>
      </c>
      <c r="E133" s="9">
        <v>662</v>
      </c>
      <c r="F133" s="7">
        <v>250</v>
      </c>
      <c r="G133" s="7">
        <v>125</v>
      </c>
      <c r="H133" s="7">
        <v>82750</v>
      </c>
      <c r="I133" s="5">
        <v>1655</v>
      </c>
      <c r="J133" s="5">
        <v>81095</v>
      </c>
      <c r="K133" s="7">
        <v>79440</v>
      </c>
      <c r="L133" s="5">
        <v>1655</v>
      </c>
      <c r="M133" s="1">
        <v>41791</v>
      </c>
      <c r="N133">
        <v>6</v>
      </c>
      <c r="O133" t="s">
        <v>23</v>
      </c>
      <c r="P133" t="s">
        <v>12</v>
      </c>
      <c r="Q133" s="5">
        <f>tbl_financials[[#This Row],[Net_Sales]]</f>
        <v>81095</v>
      </c>
      <c r="R133" s="5">
        <f>ROUND(tbl_financials[[#This Row],[Revenue]]*(0.12+MOD(ROW(),7)/100),2)</f>
        <v>9731.4</v>
      </c>
      <c r="S133" s="7">
        <f t="shared" si="2"/>
        <v>5123</v>
      </c>
      <c r="T133" s="5">
        <f>tbl_financials[[#This Row],[Gross_Profit]]-tbl_financials[[#This Row],[Operating_Expenses]]+tbl_financials[[#This Row],[Other_Income]]</f>
        <v>-2953.3999999999996</v>
      </c>
      <c r="U133" s="11">
        <f>IF(tbl_financials[[#This Row],[Revenue]]=0,0,tbl_financials[[#This Row],[Net_Profit]]/tbl_financials[[#This Row],[Revenue]])</f>
        <v>-3.6419014735803681E-2</v>
      </c>
      <c r="V133" s="11" t="str">
        <f>tbl_financials[[#This Row],[Month_Name]] &amp; "_" &amp; tbl_financials[[#This Row],[Year]]</f>
        <v>June_2014</v>
      </c>
      <c r="W133" s="11" t="str">
        <f>tbl_financials[[#This Row],[Month_Name]] &amp; "_" &amp; (tbl_financials[[#This Row],[Year]]-1)</f>
        <v>June_2013</v>
      </c>
      <c r="X13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34" spans="1:24" x14ac:dyDescent="0.3">
      <c r="A134" t="s">
        <v>4</v>
      </c>
      <c r="B134" t="s">
        <v>16</v>
      </c>
      <c r="C134" t="s">
        <v>36</v>
      </c>
      <c r="D134" t="s">
        <v>39</v>
      </c>
      <c r="E134" s="9">
        <v>214</v>
      </c>
      <c r="F134" s="7">
        <v>250</v>
      </c>
      <c r="G134" s="7">
        <v>300</v>
      </c>
      <c r="H134" s="7">
        <v>64200</v>
      </c>
      <c r="I134" s="5">
        <v>1284</v>
      </c>
      <c r="J134" s="5">
        <v>62916</v>
      </c>
      <c r="K134" s="7">
        <v>53500</v>
      </c>
      <c r="L134" s="5">
        <v>9416</v>
      </c>
      <c r="M134" s="1">
        <v>41548</v>
      </c>
      <c r="N134">
        <v>10</v>
      </c>
      <c r="O134" t="s">
        <v>27</v>
      </c>
      <c r="P134" t="s">
        <v>11</v>
      </c>
      <c r="Q134" s="5">
        <f>tbl_financials[[#This Row],[Net_Sales]]</f>
        <v>62916</v>
      </c>
      <c r="R134" s="5">
        <f>ROUND(tbl_financials[[#This Row],[Revenue]]*(0.12+MOD(ROW(),7)/100),2)</f>
        <v>8179.08</v>
      </c>
      <c r="S134" s="7">
        <f t="shared" si="2"/>
        <v>5154</v>
      </c>
      <c r="T134" s="5">
        <f>tbl_financials[[#This Row],[Gross_Profit]]-tbl_financials[[#This Row],[Operating_Expenses]]+tbl_financials[[#This Row],[Other_Income]]</f>
        <v>6390.92</v>
      </c>
      <c r="U134" s="11">
        <f>IF(tbl_financials[[#This Row],[Revenue]]=0,0,tbl_financials[[#This Row],[Net_Profit]]/tbl_financials[[#This Row],[Revenue]])</f>
        <v>0.10157861275351263</v>
      </c>
      <c r="V134" s="11" t="str">
        <f>tbl_financials[[#This Row],[Month_Name]] &amp; "_" &amp; tbl_financials[[#This Row],[Year]]</f>
        <v>October_2013</v>
      </c>
      <c r="W134" s="11" t="str">
        <f>tbl_financials[[#This Row],[Month_Name]] &amp; "_" &amp; (tbl_financials[[#This Row],[Year]]-1)</f>
        <v>October_2012</v>
      </c>
      <c r="X13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35" spans="1:24" x14ac:dyDescent="0.3">
      <c r="A135" t="s">
        <v>7</v>
      </c>
      <c r="B135" t="s">
        <v>16</v>
      </c>
      <c r="C135" t="s">
        <v>36</v>
      </c>
      <c r="D135" t="s">
        <v>39</v>
      </c>
      <c r="E135" s="9">
        <v>2877</v>
      </c>
      <c r="F135" s="7">
        <v>250</v>
      </c>
      <c r="G135" s="7">
        <v>350</v>
      </c>
      <c r="H135" s="7">
        <v>1006950</v>
      </c>
      <c r="I135" s="5">
        <v>20139</v>
      </c>
      <c r="J135" s="5">
        <v>986811</v>
      </c>
      <c r="K135" s="7">
        <v>748020</v>
      </c>
      <c r="L135" s="5">
        <v>238791</v>
      </c>
      <c r="M135" s="1">
        <v>41913</v>
      </c>
      <c r="N135">
        <v>10</v>
      </c>
      <c r="O135" t="s">
        <v>27</v>
      </c>
      <c r="P135" t="s">
        <v>12</v>
      </c>
      <c r="Q135" s="5">
        <f>tbl_financials[[#This Row],[Net_Sales]]</f>
        <v>986811</v>
      </c>
      <c r="R135" s="5">
        <f>ROUND(tbl_financials[[#This Row],[Revenue]]*(0.12+MOD(ROW(),7)/100),2)</f>
        <v>138153.54</v>
      </c>
      <c r="S135" s="7">
        <f t="shared" si="2"/>
        <v>5185</v>
      </c>
      <c r="T135" s="5">
        <f>tbl_financials[[#This Row],[Gross_Profit]]-tbl_financials[[#This Row],[Operating_Expenses]]+tbl_financials[[#This Row],[Other_Income]]</f>
        <v>105822.45999999999</v>
      </c>
      <c r="U135" s="11">
        <f>IF(tbl_financials[[#This Row],[Revenue]]=0,0,tbl_financials[[#This Row],[Net_Profit]]/tbl_financials[[#This Row],[Revenue]])</f>
        <v>0.10723680623746593</v>
      </c>
      <c r="V135" s="11" t="str">
        <f>tbl_financials[[#This Row],[Month_Name]] &amp; "_" &amp; tbl_financials[[#This Row],[Year]]</f>
        <v>October_2014</v>
      </c>
      <c r="W135" s="11" t="str">
        <f>tbl_financials[[#This Row],[Month_Name]] &amp; "_" &amp; (tbl_financials[[#This Row],[Year]]-1)</f>
        <v>October_2013</v>
      </c>
      <c r="X13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21.88257391304348</v>
      </c>
    </row>
    <row r="136" spans="1:24" x14ac:dyDescent="0.3">
      <c r="A136" t="s">
        <v>6</v>
      </c>
      <c r="B136" t="s">
        <v>13</v>
      </c>
      <c r="C136" t="s">
        <v>36</v>
      </c>
      <c r="D136" t="s">
        <v>39</v>
      </c>
      <c r="E136" s="9">
        <v>2729</v>
      </c>
      <c r="F136" s="7">
        <v>250</v>
      </c>
      <c r="G136" s="7">
        <v>125</v>
      </c>
      <c r="H136" s="7">
        <v>341125</v>
      </c>
      <c r="I136" s="5">
        <v>6822.5</v>
      </c>
      <c r="J136" s="5">
        <v>334302.5</v>
      </c>
      <c r="K136" s="7">
        <v>327480</v>
      </c>
      <c r="L136" s="5">
        <v>6822.5</v>
      </c>
      <c r="M136" s="1">
        <v>41974</v>
      </c>
      <c r="N136">
        <v>12</v>
      </c>
      <c r="O136" t="s">
        <v>29</v>
      </c>
      <c r="P136" t="s">
        <v>12</v>
      </c>
      <c r="Q136" s="5">
        <f>tbl_financials[[#This Row],[Net_Sales]]</f>
        <v>334302.5</v>
      </c>
      <c r="R136" s="5">
        <f>ROUND(tbl_financials[[#This Row],[Revenue]]*(0.12+MOD(ROW(),7)/100),2)</f>
        <v>50145.38</v>
      </c>
      <c r="S136" s="7">
        <f t="shared" si="2"/>
        <v>5216</v>
      </c>
      <c r="T136" s="5">
        <f>tbl_financials[[#This Row],[Gross_Profit]]-tbl_financials[[#This Row],[Operating_Expenses]]+tbl_financials[[#This Row],[Other_Income]]</f>
        <v>-38106.879999999997</v>
      </c>
      <c r="U136" s="11">
        <f>IF(tbl_financials[[#This Row],[Revenue]]=0,0,tbl_financials[[#This Row],[Net_Profit]]/tbl_financials[[#This Row],[Revenue]])</f>
        <v>-0.11398921635345233</v>
      </c>
      <c r="V136" s="11" t="str">
        <f>tbl_financials[[#This Row],[Month_Name]] &amp; "_" &amp; tbl_financials[[#This Row],[Year]]</f>
        <v>December_2014</v>
      </c>
      <c r="W136" s="11" t="str">
        <f>tbl_financials[[#This Row],[Month_Name]] &amp; "_" &amp; (tbl_financials[[#This Row],[Year]]-1)</f>
        <v>December_2013</v>
      </c>
      <c r="X13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9.3563351920693929</v>
      </c>
    </row>
    <row r="137" spans="1:24" x14ac:dyDescent="0.3">
      <c r="A137" t="s">
        <v>7</v>
      </c>
      <c r="B137" t="s">
        <v>14</v>
      </c>
      <c r="C137" t="s">
        <v>36</v>
      </c>
      <c r="D137" t="s">
        <v>39</v>
      </c>
      <c r="E137" s="9">
        <v>266</v>
      </c>
      <c r="F137" s="7">
        <v>250</v>
      </c>
      <c r="G137" s="7">
        <v>350</v>
      </c>
      <c r="H137" s="7">
        <v>93100</v>
      </c>
      <c r="I137" s="5">
        <v>1862</v>
      </c>
      <c r="J137" s="5">
        <v>91238</v>
      </c>
      <c r="K137" s="7">
        <v>69160</v>
      </c>
      <c r="L137" s="5">
        <v>22078</v>
      </c>
      <c r="M137" s="1">
        <v>41609</v>
      </c>
      <c r="N137">
        <v>12</v>
      </c>
      <c r="O137" t="s">
        <v>29</v>
      </c>
      <c r="P137" t="s">
        <v>11</v>
      </c>
      <c r="Q137" s="5">
        <f>tbl_financials[[#This Row],[Net_Sales]]</f>
        <v>91238</v>
      </c>
      <c r="R137" s="5">
        <f>ROUND(tbl_financials[[#This Row],[Revenue]]*(0.12+MOD(ROW(),7)/100),2)</f>
        <v>14598.08</v>
      </c>
      <c r="S137" s="7">
        <f t="shared" si="2"/>
        <v>5247</v>
      </c>
      <c r="T137" s="5">
        <f>tbl_financials[[#This Row],[Gross_Profit]]-tbl_financials[[#This Row],[Operating_Expenses]]+tbl_financials[[#This Row],[Other_Income]]</f>
        <v>12726.92</v>
      </c>
      <c r="U137" s="11">
        <f>IF(tbl_financials[[#This Row],[Revenue]]=0,0,tbl_financials[[#This Row],[Net_Profit]]/tbl_financials[[#This Row],[Revenue]])</f>
        <v>0.13949143997018787</v>
      </c>
      <c r="V137" s="11" t="str">
        <f>tbl_financials[[#This Row],[Month_Name]] &amp; "_" &amp; tbl_financials[[#This Row],[Year]]</f>
        <v>December_2013</v>
      </c>
      <c r="W137" s="11" t="str">
        <f>tbl_financials[[#This Row],[Month_Name]] &amp; "_" &amp; (tbl_financials[[#This Row],[Year]]-1)</f>
        <v>December_2012</v>
      </c>
      <c r="X13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38" spans="1:24" x14ac:dyDescent="0.3">
      <c r="A138" t="s">
        <v>7</v>
      </c>
      <c r="B138" t="s">
        <v>17</v>
      </c>
      <c r="C138" t="s">
        <v>36</v>
      </c>
      <c r="D138" t="s">
        <v>39</v>
      </c>
      <c r="E138" s="9">
        <v>1940</v>
      </c>
      <c r="F138" s="7">
        <v>250</v>
      </c>
      <c r="G138" s="7">
        <v>350</v>
      </c>
      <c r="H138" s="7">
        <v>679000</v>
      </c>
      <c r="I138" s="5">
        <v>13580</v>
      </c>
      <c r="J138" s="5">
        <v>665420</v>
      </c>
      <c r="K138" s="7">
        <v>504400</v>
      </c>
      <c r="L138" s="5">
        <v>161020</v>
      </c>
      <c r="M138" s="1">
        <v>41609</v>
      </c>
      <c r="N138">
        <v>12</v>
      </c>
      <c r="O138" t="s">
        <v>29</v>
      </c>
      <c r="P138" t="s">
        <v>11</v>
      </c>
      <c r="Q138" s="5">
        <f>tbl_financials[[#This Row],[Net_Sales]]</f>
        <v>665420</v>
      </c>
      <c r="R138" s="5">
        <f>ROUND(tbl_financials[[#This Row],[Revenue]]*(0.12+MOD(ROW(),7)/100),2)</f>
        <v>113121.4</v>
      </c>
      <c r="S138" s="7">
        <f t="shared" si="2"/>
        <v>5278</v>
      </c>
      <c r="T138" s="5">
        <f>tbl_financials[[#This Row],[Gross_Profit]]-tbl_financials[[#This Row],[Operating_Expenses]]+tbl_financials[[#This Row],[Other_Income]]</f>
        <v>53176.600000000006</v>
      </c>
      <c r="U138" s="11">
        <f>IF(tbl_financials[[#This Row],[Revenue]]=0,0,tbl_financials[[#This Row],[Net_Profit]]/tbl_financials[[#This Row],[Revenue]])</f>
        <v>7.9914339815454913E-2</v>
      </c>
      <c r="V138" s="11" t="str">
        <f>tbl_financials[[#This Row],[Month_Name]] &amp; "_" &amp; tbl_financials[[#This Row],[Year]]</f>
        <v>December_2013</v>
      </c>
      <c r="W138" s="11" t="str">
        <f>tbl_financials[[#This Row],[Month_Name]] &amp; "_" &amp; (tbl_financials[[#This Row],[Year]]-1)</f>
        <v>December_2012</v>
      </c>
      <c r="X13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39" spans="1:24" x14ac:dyDescent="0.3">
      <c r="A139" t="s">
        <v>4</v>
      </c>
      <c r="B139" t="s">
        <v>16</v>
      </c>
      <c r="C139" t="s">
        <v>37</v>
      </c>
      <c r="D139" t="s">
        <v>39</v>
      </c>
      <c r="E139" s="9">
        <v>259</v>
      </c>
      <c r="F139" s="7">
        <v>260</v>
      </c>
      <c r="G139" s="7">
        <v>300</v>
      </c>
      <c r="H139" s="7">
        <v>77700</v>
      </c>
      <c r="I139" s="5">
        <v>1554</v>
      </c>
      <c r="J139" s="5">
        <v>76146</v>
      </c>
      <c r="K139" s="7">
        <v>64750</v>
      </c>
      <c r="L139" s="5">
        <v>11396</v>
      </c>
      <c r="M139" s="1">
        <v>41699</v>
      </c>
      <c r="N139">
        <v>3</v>
      </c>
      <c r="O139" t="s">
        <v>20</v>
      </c>
      <c r="P139" t="s">
        <v>12</v>
      </c>
      <c r="Q139" s="5">
        <f>tbl_financials[[#This Row],[Net_Sales]]</f>
        <v>76146</v>
      </c>
      <c r="R139" s="5">
        <f>ROUND(tbl_financials[[#This Row],[Revenue]]*(0.12+MOD(ROW(),7)/100),2)</f>
        <v>13706.28</v>
      </c>
      <c r="S139" s="7">
        <f t="shared" si="2"/>
        <v>5309</v>
      </c>
      <c r="T139" s="5">
        <f>tbl_financials[[#This Row],[Gross_Profit]]-tbl_financials[[#This Row],[Operating_Expenses]]+tbl_financials[[#This Row],[Other_Income]]</f>
        <v>2998.7199999999993</v>
      </c>
      <c r="U139" s="11">
        <f>IF(tbl_financials[[#This Row],[Revenue]]=0,0,tbl_financials[[#This Row],[Net_Profit]]/tbl_financials[[#This Row],[Revenue]])</f>
        <v>3.9381188768943864E-2</v>
      </c>
      <c r="V139" s="11" t="str">
        <f>tbl_financials[[#This Row],[Month_Name]] &amp; "_" &amp; tbl_financials[[#This Row],[Year]]</f>
        <v>March_2014</v>
      </c>
      <c r="W139" s="11" t="str">
        <f>tbl_financials[[#This Row],[Month_Name]] &amp; "_" &amp; (tbl_financials[[#This Row],[Year]]-1)</f>
        <v>March_2013</v>
      </c>
      <c r="X13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40" spans="1:24" x14ac:dyDescent="0.3">
      <c r="A140" t="s">
        <v>4</v>
      </c>
      <c r="B140" t="s">
        <v>17</v>
      </c>
      <c r="C140" t="s">
        <v>37</v>
      </c>
      <c r="D140" t="s">
        <v>39</v>
      </c>
      <c r="E140" s="9">
        <v>1101</v>
      </c>
      <c r="F140" s="7">
        <v>260</v>
      </c>
      <c r="G140" s="7">
        <v>300</v>
      </c>
      <c r="H140" s="7">
        <v>330300</v>
      </c>
      <c r="I140" s="5">
        <v>6606</v>
      </c>
      <c r="J140" s="5">
        <v>323694</v>
      </c>
      <c r="K140" s="7">
        <v>275250</v>
      </c>
      <c r="L140" s="5">
        <v>48444</v>
      </c>
      <c r="M140" s="1">
        <v>41699</v>
      </c>
      <c r="N140">
        <v>3</v>
      </c>
      <c r="O140" t="s">
        <v>20</v>
      </c>
      <c r="P140" t="s">
        <v>12</v>
      </c>
      <c r="Q140" s="5">
        <f>tbl_financials[[#This Row],[Net_Sales]]</f>
        <v>323694</v>
      </c>
      <c r="R140" s="5">
        <f>ROUND(tbl_financials[[#This Row],[Revenue]]*(0.12+MOD(ROW(),7)/100),2)</f>
        <v>38843.279999999999</v>
      </c>
      <c r="S140" s="7">
        <f t="shared" si="2"/>
        <v>5340</v>
      </c>
      <c r="T140" s="5">
        <f>tbl_financials[[#This Row],[Gross_Profit]]-tbl_financials[[#This Row],[Operating_Expenses]]+tbl_financials[[#This Row],[Other_Income]]</f>
        <v>14940.720000000001</v>
      </c>
      <c r="U140" s="11">
        <f>IF(tbl_financials[[#This Row],[Revenue]]=0,0,tbl_financials[[#This Row],[Net_Profit]]/tbl_financials[[#This Row],[Revenue]])</f>
        <v>4.6156925985653123E-2</v>
      </c>
      <c r="V140" s="11" t="str">
        <f>tbl_financials[[#This Row],[Month_Name]] &amp; "_" &amp; tbl_financials[[#This Row],[Year]]</f>
        <v>March_2014</v>
      </c>
      <c r="W140" s="11" t="str">
        <f>tbl_financials[[#This Row],[Month_Name]] &amp; "_" &amp; (tbl_financials[[#This Row],[Year]]-1)</f>
        <v>March_2013</v>
      </c>
      <c r="X14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41" spans="1:24" x14ac:dyDescent="0.3">
      <c r="A141" t="s">
        <v>6</v>
      </c>
      <c r="B141" t="s">
        <v>16</v>
      </c>
      <c r="C141" t="s">
        <v>37</v>
      </c>
      <c r="D141" t="s">
        <v>39</v>
      </c>
      <c r="E141" s="9">
        <v>2276</v>
      </c>
      <c r="F141" s="7">
        <v>260</v>
      </c>
      <c r="G141" s="7">
        <v>125</v>
      </c>
      <c r="H141" s="7">
        <v>284500</v>
      </c>
      <c r="I141" s="5">
        <v>5690</v>
      </c>
      <c r="J141" s="5">
        <v>278810</v>
      </c>
      <c r="K141" s="7">
        <v>273120</v>
      </c>
      <c r="L141" s="5">
        <v>5690</v>
      </c>
      <c r="M141" s="1">
        <v>41760</v>
      </c>
      <c r="N141">
        <v>5</v>
      </c>
      <c r="O141" t="s">
        <v>22</v>
      </c>
      <c r="P141" t="s">
        <v>12</v>
      </c>
      <c r="Q141" s="5">
        <f>tbl_financials[[#This Row],[Net_Sales]]</f>
        <v>278810</v>
      </c>
      <c r="R141" s="5">
        <f>ROUND(tbl_financials[[#This Row],[Revenue]]*(0.12+MOD(ROW(),7)/100),2)</f>
        <v>36245.300000000003</v>
      </c>
      <c r="S141" s="7">
        <f t="shared" si="2"/>
        <v>5371</v>
      </c>
      <c r="T141" s="5">
        <f>tbl_financials[[#This Row],[Gross_Profit]]-tbl_financials[[#This Row],[Operating_Expenses]]+tbl_financials[[#This Row],[Other_Income]]</f>
        <v>-25184.300000000003</v>
      </c>
      <c r="U141" s="11">
        <f>IF(tbl_financials[[#This Row],[Revenue]]=0,0,tbl_financials[[#This Row],[Net_Profit]]/tbl_financials[[#This Row],[Revenue]])</f>
        <v>-9.0327821814138676E-2</v>
      </c>
      <c r="V141" s="11" t="str">
        <f>tbl_financials[[#This Row],[Month_Name]] &amp; "_" &amp; tbl_financials[[#This Row],[Year]]</f>
        <v>May_2014</v>
      </c>
      <c r="W141" s="11" t="str">
        <f>tbl_financials[[#This Row],[Month_Name]] &amp; "_" &amp; (tbl_financials[[#This Row],[Year]]-1)</f>
        <v>May_2013</v>
      </c>
      <c r="X14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42" spans="1:24" x14ac:dyDescent="0.3">
      <c r="A142" t="s">
        <v>7</v>
      </c>
      <c r="B142" t="s">
        <v>16</v>
      </c>
      <c r="C142" t="s">
        <v>37</v>
      </c>
      <c r="D142" t="s">
        <v>39</v>
      </c>
      <c r="E142" s="9">
        <v>2966</v>
      </c>
      <c r="F142" s="7">
        <v>260</v>
      </c>
      <c r="G142" s="7">
        <v>350</v>
      </c>
      <c r="H142" s="7">
        <v>1038100</v>
      </c>
      <c r="I142" s="5">
        <v>20762</v>
      </c>
      <c r="J142" s="5">
        <v>1017338</v>
      </c>
      <c r="K142" s="7">
        <v>771160</v>
      </c>
      <c r="L142" s="5">
        <v>246178</v>
      </c>
      <c r="M142" s="1">
        <v>41548</v>
      </c>
      <c r="N142">
        <v>10</v>
      </c>
      <c r="O142" t="s">
        <v>27</v>
      </c>
      <c r="P142" t="s">
        <v>11</v>
      </c>
      <c r="Q142" s="5">
        <f>tbl_financials[[#This Row],[Net_Sales]]</f>
        <v>1017338</v>
      </c>
      <c r="R142" s="5">
        <f>ROUND(tbl_financials[[#This Row],[Revenue]]*(0.12+MOD(ROW(),7)/100),2)</f>
        <v>142427.32</v>
      </c>
      <c r="S142" s="7">
        <f t="shared" si="2"/>
        <v>5402</v>
      </c>
      <c r="T142" s="5">
        <f>tbl_financials[[#This Row],[Gross_Profit]]-tbl_financials[[#This Row],[Operating_Expenses]]+tbl_financials[[#This Row],[Other_Income]]</f>
        <v>109152.68</v>
      </c>
      <c r="U142" s="11">
        <f>IF(tbl_financials[[#This Row],[Revenue]]=0,0,tbl_financials[[#This Row],[Net_Profit]]/tbl_financials[[#This Row],[Revenue]])</f>
        <v>0.10729244361264398</v>
      </c>
      <c r="V142" s="11" t="str">
        <f>tbl_financials[[#This Row],[Month_Name]] &amp; "_" &amp; tbl_financials[[#This Row],[Year]]</f>
        <v>October_2013</v>
      </c>
      <c r="W142" s="11" t="str">
        <f>tbl_financials[[#This Row],[Month_Name]] &amp; "_" &amp; (tbl_financials[[#This Row],[Year]]-1)</f>
        <v>October_2012</v>
      </c>
      <c r="X14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43" spans="1:24" x14ac:dyDescent="0.3">
      <c r="A143" t="s">
        <v>7</v>
      </c>
      <c r="B143" t="s">
        <v>14</v>
      </c>
      <c r="C143" t="s">
        <v>37</v>
      </c>
      <c r="D143" t="s">
        <v>39</v>
      </c>
      <c r="E143" s="9">
        <v>1236</v>
      </c>
      <c r="F143" s="7">
        <v>260</v>
      </c>
      <c r="G143" s="7">
        <v>20</v>
      </c>
      <c r="H143" s="7">
        <v>24720</v>
      </c>
      <c r="I143" s="5">
        <v>494.4</v>
      </c>
      <c r="J143" s="5">
        <v>24225.599999999999</v>
      </c>
      <c r="K143" s="7">
        <v>12360</v>
      </c>
      <c r="L143" s="5">
        <v>11865.5999999999</v>
      </c>
      <c r="M143" s="1">
        <v>41944</v>
      </c>
      <c r="N143">
        <v>11</v>
      </c>
      <c r="O143" t="s">
        <v>28</v>
      </c>
      <c r="P143" t="s">
        <v>12</v>
      </c>
      <c r="Q143" s="5">
        <f>tbl_financials[[#This Row],[Net_Sales]]</f>
        <v>24225.599999999999</v>
      </c>
      <c r="R143" s="5">
        <f>ROUND(tbl_financials[[#This Row],[Revenue]]*(0.12+MOD(ROW(),7)/100),2)</f>
        <v>3633.84</v>
      </c>
      <c r="S143" s="7">
        <f t="shared" si="2"/>
        <v>5433</v>
      </c>
      <c r="T143" s="5">
        <f>tbl_financials[[#This Row],[Gross_Profit]]-tbl_financials[[#This Row],[Operating_Expenses]]+tbl_financials[[#This Row],[Other_Income]]</f>
        <v>13664.7599999999</v>
      </c>
      <c r="U143" s="11">
        <f>IF(tbl_financials[[#This Row],[Revenue]]=0,0,tbl_financials[[#This Row],[Net_Profit]]/tbl_financials[[#This Row],[Revenue]])</f>
        <v>0.56406280958985122</v>
      </c>
      <c r="V143" s="11" t="str">
        <f>tbl_financials[[#This Row],[Month_Name]] &amp; "_" &amp; tbl_financials[[#This Row],[Year]]</f>
        <v>November_2014</v>
      </c>
      <c r="W143" s="11" t="str">
        <f>tbl_financials[[#This Row],[Month_Name]] &amp; "_" &amp; (tbl_financials[[#This Row],[Year]]-1)</f>
        <v>November_2013</v>
      </c>
      <c r="X14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-0.95987478260869574</v>
      </c>
    </row>
    <row r="144" spans="1:24" x14ac:dyDescent="0.3">
      <c r="A144" t="s">
        <v>7</v>
      </c>
      <c r="B144" t="s">
        <v>15</v>
      </c>
      <c r="C144" t="s">
        <v>37</v>
      </c>
      <c r="D144" t="s">
        <v>39</v>
      </c>
      <c r="E144" s="9">
        <v>941</v>
      </c>
      <c r="F144" s="7">
        <v>260</v>
      </c>
      <c r="G144" s="7">
        <v>20</v>
      </c>
      <c r="H144" s="7">
        <v>18820</v>
      </c>
      <c r="I144" s="5">
        <v>376.4</v>
      </c>
      <c r="J144" s="5">
        <v>18443.599999999999</v>
      </c>
      <c r="K144" s="7">
        <v>9410</v>
      </c>
      <c r="L144" s="5">
        <v>9033.5999999999894</v>
      </c>
      <c r="M144" s="1">
        <v>41944</v>
      </c>
      <c r="N144">
        <v>11</v>
      </c>
      <c r="O144" t="s">
        <v>28</v>
      </c>
      <c r="P144" t="s">
        <v>12</v>
      </c>
      <c r="Q144" s="5">
        <f>tbl_financials[[#This Row],[Net_Sales]]</f>
        <v>18443.599999999999</v>
      </c>
      <c r="R144" s="5">
        <f>ROUND(tbl_financials[[#This Row],[Revenue]]*(0.12+MOD(ROW(),7)/100),2)</f>
        <v>2950.98</v>
      </c>
      <c r="S144" s="7">
        <f t="shared" si="2"/>
        <v>5464</v>
      </c>
      <c r="T144" s="5">
        <f>tbl_financials[[#This Row],[Gross_Profit]]-tbl_financials[[#This Row],[Operating_Expenses]]+tbl_financials[[#This Row],[Other_Income]]</f>
        <v>11546.61999999999</v>
      </c>
      <c r="U144" s="11">
        <f>IF(tbl_financials[[#This Row],[Revenue]]=0,0,tbl_financials[[#This Row],[Net_Profit]]/tbl_financials[[#This Row],[Revenue]])</f>
        <v>0.62605022880565564</v>
      </c>
      <c r="V144" s="11" t="str">
        <f>tbl_financials[[#This Row],[Month_Name]] &amp; "_" &amp; tbl_financials[[#This Row],[Year]]</f>
        <v>November_2014</v>
      </c>
      <c r="W144" s="11" t="str">
        <f>tbl_financials[[#This Row],[Month_Name]] &amp; "_" &amp; (tbl_financials[[#This Row],[Year]]-1)</f>
        <v>November_2013</v>
      </c>
      <c r="X14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-0.96945159420289861</v>
      </c>
    </row>
    <row r="145" spans="1:24" x14ac:dyDescent="0.3">
      <c r="A145" t="s">
        <v>4</v>
      </c>
      <c r="B145" t="s">
        <v>13</v>
      </c>
      <c r="C145" t="s">
        <v>37</v>
      </c>
      <c r="D145" t="s">
        <v>39</v>
      </c>
      <c r="E145" s="9">
        <v>1916</v>
      </c>
      <c r="F145" s="7">
        <v>260</v>
      </c>
      <c r="G145" s="7">
        <v>300</v>
      </c>
      <c r="H145" s="7">
        <v>574800</v>
      </c>
      <c r="I145" s="5">
        <v>11496</v>
      </c>
      <c r="J145" s="5">
        <v>563304</v>
      </c>
      <c r="K145" s="7">
        <v>479000</v>
      </c>
      <c r="L145" s="5">
        <v>84304</v>
      </c>
      <c r="M145" s="1">
        <v>41974</v>
      </c>
      <c r="N145">
        <v>12</v>
      </c>
      <c r="O145" t="s">
        <v>29</v>
      </c>
      <c r="P145" t="s">
        <v>12</v>
      </c>
      <c r="Q145" s="5">
        <f>tbl_financials[[#This Row],[Net_Sales]]</f>
        <v>563304</v>
      </c>
      <c r="R145" s="5">
        <f>ROUND(tbl_financials[[#This Row],[Revenue]]*(0.12+MOD(ROW(),7)/100),2)</f>
        <v>95761.68</v>
      </c>
      <c r="S145" s="7">
        <f t="shared" si="2"/>
        <v>5495</v>
      </c>
      <c r="T145" s="5">
        <f>tbl_financials[[#This Row],[Gross_Profit]]-tbl_financials[[#This Row],[Operating_Expenses]]+tbl_financials[[#This Row],[Other_Income]]</f>
        <v>-5962.679999999993</v>
      </c>
      <c r="U145" s="11">
        <f>IF(tbl_financials[[#This Row],[Revenue]]=0,0,tbl_financials[[#This Row],[Net_Profit]]/tbl_financials[[#This Row],[Revenue]])</f>
        <v>-1.0585190234757774E-2</v>
      </c>
      <c r="V145" s="11" t="str">
        <f>tbl_financials[[#This Row],[Month_Name]] &amp; "_" &amp; tbl_financials[[#This Row],[Year]]</f>
        <v>December_2014</v>
      </c>
      <c r="W145" s="11" t="str">
        <f>tbl_financials[[#This Row],[Month_Name]] &amp; "_" &amp; (tbl_financials[[#This Row],[Year]]-1)</f>
        <v>December_2013</v>
      </c>
      <c r="X14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16.450557620817843</v>
      </c>
    </row>
    <row r="146" spans="1:24" x14ac:dyDescent="0.3">
      <c r="A146" t="s">
        <v>6</v>
      </c>
      <c r="B146" t="s">
        <v>15</v>
      </c>
      <c r="C146" t="s">
        <v>32</v>
      </c>
      <c r="D146" t="s">
        <v>39</v>
      </c>
      <c r="E146" s="9">
        <v>4243.5</v>
      </c>
      <c r="F146" s="7">
        <v>3</v>
      </c>
      <c r="G146" s="7">
        <v>125</v>
      </c>
      <c r="H146" s="7">
        <v>530437.5</v>
      </c>
      <c r="I146" s="5">
        <v>15913.125</v>
      </c>
      <c r="J146" s="5">
        <v>514524.375</v>
      </c>
      <c r="K146" s="7">
        <v>509220</v>
      </c>
      <c r="L146" s="5">
        <v>5304.375</v>
      </c>
      <c r="M146" s="1">
        <v>41730</v>
      </c>
      <c r="N146">
        <v>4</v>
      </c>
      <c r="O146" t="s">
        <v>21</v>
      </c>
      <c r="P146" t="s">
        <v>12</v>
      </c>
      <c r="Q146" s="5">
        <f>tbl_financials[[#This Row],[Net_Sales]]</f>
        <v>514524.375</v>
      </c>
      <c r="R146" s="5">
        <f>ROUND(tbl_financials[[#This Row],[Revenue]]*(0.12+MOD(ROW(),7)/100),2)</f>
        <v>92614.39</v>
      </c>
      <c r="S146" s="7">
        <f t="shared" si="2"/>
        <v>5526</v>
      </c>
      <c r="T146" s="5">
        <f>tbl_financials[[#This Row],[Gross_Profit]]-tbl_financials[[#This Row],[Operating_Expenses]]+tbl_financials[[#This Row],[Other_Income]]</f>
        <v>-81784.014999999999</v>
      </c>
      <c r="U146" s="11">
        <f>IF(tbl_financials[[#This Row],[Revenue]]=0,0,tbl_financials[[#This Row],[Net_Profit]]/tbl_financials[[#This Row],[Revenue]])</f>
        <v>-0.15895071054699789</v>
      </c>
      <c r="V146" s="11" t="str">
        <f>tbl_financials[[#This Row],[Month_Name]] &amp; "_" &amp; tbl_financials[[#This Row],[Year]]</f>
        <v>April_2014</v>
      </c>
      <c r="W146" s="11" t="str">
        <f>tbl_financials[[#This Row],[Month_Name]] &amp; "_" &amp; (tbl_financials[[#This Row],[Year]]-1)</f>
        <v>April_2013</v>
      </c>
      <c r="X14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47" spans="1:24" x14ac:dyDescent="0.3">
      <c r="A147" t="s">
        <v>7</v>
      </c>
      <c r="B147" t="s">
        <v>16</v>
      </c>
      <c r="C147" t="s">
        <v>32</v>
      </c>
      <c r="D147" t="s">
        <v>39</v>
      </c>
      <c r="E147" s="9">
        <v>2580</v>
      </c>
      <c r="F147" s="7">
        <v>3</v>
      </c>
      <c r="G147" s="7">
        <v>20</v>
      </c>
      <c r="H147" s="7">
        <v>51600</v>
      </c>
      <c r="I147" s="5">
        <v>1548</v>
      </c>
      <c r="J147" s="5">
        <v>50052</v>
      </c>
      <c r="K147" s="7">
        <v>25800</v>
      </c>
      <c r="L147" s="5">
        <v>24252</v>
      </c>
      <c r="M147" s="1">
        <v>41730</v>
      </c>
      <c r="N147">
        <v>4</v>
      </c>
      <c r="O147" t="s">
        <v>21</v>
      </c>
      <c r="P147" t="s">
        <v>12</v>
      </c>
      <c r="Q147" s="5">
        <f>tbl_financials[[#This Row],[Net_Sales]]</f>
        <v>50052</v>
      </c>
      <c r="R147" s="5">
        <f>ROUND(tbl_financials[[#This Row],[Revenue]]*(0.12+MOD(ROW(),7)/100),2)</f>
        <v>6006.24</v>
      </c>
      <c r="S147" s="7">
        <f t="shared" si="2"/>
        <v>5557</v>
      </c>
      <c r="T147" s="5">
        <f>tbl_financials[[#This Row],[Gross_Profit]]-tbl_financials[[#This Row],[Operating_Expenses]]+tbl_financials[[#This Row],[Other_Income]]</f>
        <v>23802.760000000002</v>
      </c>
      <c r="U147" s="11">
        <f>IF(tbl_financials[[#This Row],[Revenue]]=0,0,tbl_financials[[#This Row],[Net_Profit]]/tbl_financials[[#This Row],[Revenue]])</f>
        <v>0.47556061695836332</v>
      </c>
      <c r="V147" s="11" t="str">
        <f>tbl_financials[[#This Row],[Month_Name]] &amp; "_" &amp; tbl_financials[[#This Row],[Year]]</f>
        <v>April_2014</v>
      </c>
      <c r="W147" s="11" t="str">
        <f>tbl_financials[[#This Row],[Month_Name]] &amp; "_" &amp; (tbl_financials[[#This Row],[Year]]-1)</f>
        <v>April_2013</v>
      </c>
      <c r="X14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48" spans="1:24" x14ac:dyDescent="0.3">
      <c r="A148" t="s">
        <v>4</v>
      </c>
      <c r="B148" t="s">
        <v>16</v>
      </c>
      <c r="C148" t="s">
        <v>32</v>
      </c>
      <c r="D148" t="s">
        <v>39</v>
      </c>
      <c r="E148" s="9">
        <v>689</v>
      </c>
      <c r="F148" s="7">
        <v>3</v>
      </c>
      <c r="G148" s="7">
        <v>300</v>
      </c>
      <c r="H148" s="7">
        <v>206700</v>
      </c>
      <c r="I148" s="5">
        <v>6201</v>
      </c>
      <c r="J148" s="5">
        <v>200499</v>
      </c>
      <c r="K148" s="7">
        <v>172250</v>
      </c>
      <c r="L148" s="5">
        <v>28249</v>
      </c>
      <c r="M148" s="1">
        <v>41791</v>
      </c>
      <c r="N148">
        <v>6</v>
      </c>
      <c r="O148" t="s">
        <v>23</v>
      </c>
      <c r="P148" t="s">
        <v>12</v>
      </c>
      <c r="Q148" s="5">
        <f>tbl_financials[[#This Row],[Net_Sales]]</f>
        <v>200499</v>
      </c>
      <c r="R148" s="5">
        <f>ROUND(tbl_financials[[#This Row],[Revenue]]*(0.12+MOD(ROW(),7)/100),2)</f>
        <v>26064.87</v>
      </c>
      <c r="S148" s="7">
        <f t="shared" si="2"/>
        <v>5588</v>
      </c>
      <c r="T148" s="5">
        <f>tbl_financials[[#This Row],[Gross_Profit]]-tbl_financials[[#This Row],[Operating_Expenses]]+tbl_financials[[#This Row],[Other_Income]]</f>
        <v>7772.130000000001</v>
      </c>
      <c r="U148" s="11">
        <f>IF(tbl_financials[[#This Row],[Revenue]]=0,0,tbl_financials[[#This Row],[Net_Profit]]/tbl_financials[[#This Row],[Revenue]])</f>
        <v>3.8763933984708156E-2</v>
      </c>
      <c r="V148" s="11" t="str">
        <f>tbl_financials[[#This Row],[Month_Name]] &amp; "_" &amp; tbl_financials[[#This Row],[Year]]</f>
        <v>June_2014</v>
      </c>
      <c r="W148" s="11" t="str">
        <f>tbl_financials[[#This Row],[Month_Name]] &amp; "_" &amp; (tbl_financials[[#This Row],[Year]]-1)</f>
        <v>June_2013</v>
      </c>
      <c r="X14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49" spans="1:24" x14ac:dyDescent="0.3">
      <c r="A149" t="s">
        <v>8</v>
      </c>
      <c r="B149" t="s">
        <v>14</v>
      </c>
      <c r="C149" t="s">
        <v>32</v>
      </c>
      <c r="D149" t="s">
        <v>39</v>
      </c>
      <c r="E149" s="9">
        <v>1947</v>
      </c>
      <c r="F149" s="7">
        <v>3</v>
      </c>
      <c r="G149" s="7">
        <v>12</v>
      </c>
      <c r="H149" s="7">
        <v>23364</v>
      </c>
      <c r="I149" s="5">
        <v>700.92</v>
      </c>
      <c r="J149" s="5">
        <v>22663.08</v>
      </c>
      <c r="K149" s="7">
        <v>5841</v>
      </c>
      <c r="L149" s="5">
        <v>16822.080000000002</v>
      </c>
      <c r="M149" s="1">
        <v>41883</v>
      </c>
      <c r="N149">
        <v>9</v>
      </c>
      <c r="O149" t="s">
        <v>26</v>
      </c>
      <c r="P149" t="s">
        <v>12</v>
      </c>
      <c r="Q149" s="5">
        <f>tbl_financials[[#This Row],[Net_Sales]]</f>
        <v>22663.08</v>
      </c>
      <c r="R149" s="5">
        <f>ROUND(tbl_financials[[#This Row],[Revenue]]*(0.12+MOD(ROW(),7)/100),2)</f>
        <v>3172.83</v>
      </c>
      <c r="S149" s="7">
        <f t="shared" si="2"/>
        <v>5619</v>
      </c>
      <c r="T149" s="5">
        <f>tbl_financials[[#This Row],[Gross_Profit]]-tbl_financials[[#This Row],[Operating_Expenses]]+tbl_financials[[#This Row],[Other_Income]]</f>
        <v>19268.25</v>
      </c>
      <c r="U149" s="11">
        <f>IF(tbl_financials[[#This Row],[Revenue]]=0,0,tbl_financials[[#This Row],[Net_Profit]]/tbl_financials[[#This Row],[Revenue]])</f>
        <v>0.85020438528214159</v>
      </c>
      <c r="V149" s="11" t="str">
        <f>tbl_financials[[#This Row],[Month_Name]] &amp; "_" &amp; tbl_financials[[#This Row],[Year]]</f>
        <v>September_2014</v>
      </c>
      <c r="W149" s="11" t="str">
        <f>tbl_financials[[#This Row],[Month_Name]] &amp; "_" &amp; (tbl_financials[[#This Row],[Year]]-1)</f>
        <v>September_2013</v>
      </c>
      <c r="X14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1.7520437158469948</v>
      </c>
    </row>
    <row r="150" spans="1:24" x14ac:dyDescent="0.3">
      <c r="A150" t="s">
        <v>8</v>
      </c>
      <c r="B150" t="s">
        <v>13</v>
      </c>
      <c r="C150" t="s">
        <v>32</v>
      </c>
      <c r="D150" t="s">
        <v>39</v>
      </c>
      <c r="E150" s="9">
        <v>908</v>
      </c>
      <c r="F150" s="7">
        <v>3</v>
      </c>
      <c r="G150" s="7">
        <v>12</v>
      </c>
      <c r="H150" s="7">
        <v>10896</v>
      </c>
      <c r="I150" s="5">
        <v>326.88</v>
      </c>
      <c r="J150" s="5">
        <v>10569.12</v>
      </c>
      <c r="K150" s="7">
        <v>2724</v>
      </c>
      <c r="L150" s="5">
        <v>7845.12</v>
      </c>
      <c r="M150" s="1">
        <v>41609</v>
      </c>
      <c r="N150">
        <v>12</v>
      </c>
      <c r="O150" t="s">
        <v>29</v>
      </c>
      <c r="P150" t="s">
        <v>11</v>
      </c>
      <c r="Q150" s="5">
        <f>tbl_financials[[#This Row],[Net_Sales]]</f>
        <v>10569.12</v>
      </c>
      <c r="R150" s="5">
        <f>ROUND(tbl_financials[[#This Row],[Revenue]]*(0.12+MOD(ROW(),7)/100),2)</f>
        <v>1585.37</v>
      </c>
      <c r="S150" s="7">
        <f t="shared" si="2"/>
        <v>5650</v>
      </c>
      <c r="T150" s="5">
        <f>tbl_financials[[#This Row],[Gross_Profit]]-tbl_financials[[#This Row],[Operating_Expenses]]+tbl_financials[[#This Row],[Other_Income]]</f>
        <v>11909.75</v>
      </c>
      <c r="U150" s="11">
        <f>IF(tbl_financials[[#This Row],[Revenue]]=0,0,tbl_financials[[#This Row],[Net_Profit]]/tbl_financials[[#This Row],[Revenue]])</f>
        <v>1.1268440513495919</v>
      </c>
      <c r="V150" s="11" t="str">
        <f>tbl_financials[[#This Row],[Month_Name]] &amp; "_" &amp; tbl_financials[[#This Row],[Year]]</f>
        <v>December_2013</v>
      </c>
      <c r="W150" s="11" t="str">
        <f>tbl_financials[[#This Row],[Month_Name]] &amp; "_" &amp; (tbl_financials[[#This Row],[Year]]-1)</f>
        <v>December_2012</v>
      </c>
      <c r="X15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51" spans="1:24" x14ac:dyDescent="0.3">
      <c r="A151" t="s">
        <v>7</v>
      </c>
      <c r="B151" t="s">
        <v>16</v>
      </c>
      <c r="C151" t="s">
        <v>33</v>
      </c>
      <c r="D151" t="s">
        <v>39</v>
      </c>
      <c r="E151" s="9">
        <v>1958</v>
      </c>
      <c r="F151" s="7">
        <v>5</v>
      </c>
      <c r="G151" s="7">
        <v>7</v>
      </c>
      <c r="H151" s="7">
        <v>13706</v>
      </c>
      <c r="I151" s="5">
        <v>411.18</v>
      </c>
      <c r="J151" s="5">
        <v>13294.82</v>
      </c>
      <c r="K151" s="7">
        <v>9790</v>
      </c>
      <c r="L151" s="5">
        <v>3504.8199999999902</v>
      </c>
      <c r="M151" s="1">
        <v>41671</v>
      </c>
      <c r="N151">
        <v>2</v>
      </c>
      <c r="O151" t="s">
        <v>19</v>
      </c>
      <c r="P151" t="s">
        <v>12</v>
      </c>
      <c r="Q151" s="5">
        <f>tbl_financials[[#This Row],[Net_Sales]]</f>
        <v>13294.82</v>
      </c>
      <c r="R151" s="5">
        <f>ROUND(tbl_financials[[#This Row],[Revenue]]*(0.12+MOD(ROW(),7)/100),2)</f>
        <v>2127.17</v>
      </c>
      <c r="S151" s="7">
        <f t="shared" si="2"/>
        <v>5681</v>
      </c>
      <c r="T151" s="5">
        <f>tbl_financials[[#This Row],[Gross_Profit]]-tbl_financials[[#This Row],[Operating_Expenses]]+tbl_financials[[#This Row],[Other_Income]]</f>
        <v>7058.6499999999905</v>
      </c>
      <c r="U151" s="11">
        <f>IF(tbl_financials[[#This Row],[Revenue]]=0,0,tbl_financials[[#This Row],[Net_Profit]]/tbl_financials[[#This Row],[Revenue]])</f>
        <v>0.53093234808744993</v>
      </c>
      <c r="V151" s="11" t="str">
        <f>tbl_financials[[#This Row],[Month_Name]] &amp; "_" &amp; tbl_financials[[#This Row],[Year]]</f>
        <v>February_2014</v>
      </c>
      <c r="W151" s="11" t="str">
        <f>tbl_financials[[#This Row],[Month_Name]] &amp; "_" &amp; (tbl_financials[[#This Row],[Year]]-1)</f>
        <v>February_2013</v>
      </c>
      <c r="X15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52" spans="1:24" x14ac:dyDescent="0.3">
      <c r="A152" t="s">
        <v>8</v>
      </c>
      <c r="B152" t="s">
        <v>15</v>
      </c>
      <c r="C152" t="s">
        <v>33</v>
      </c>
      <c r="D152" t="s">
        <v>39</v>
      </c>
      <c r="E152" s="9">
        <v>1901</v>
      </c>
      <c r="F152" s="7">
        <v>5</v>
      </c>
      <c r="G152" s="7">
        <v>12</v>
      </c>
      <c r="H152" s="7">
        <v>22812</v>
      </c>
      <c r="I152" s="5">
        <v>684.36</v>
      </c>
      <c r="J152" s="5">
        <v>22127.64</v>
      </c>
      <c r="K152" s="7">
        <v>5703</v>
      </c>
      <c r="L152" s="5">
        <v>16424.64</v>
      </c>
      <c r="M152" s="1">
        <v>41791</v>
      </c>
      <c r="N152">
        <v>6</v>
      </c>
      <c r="O152" t="s">
        <v>23</v>
      </c>
      <c r="P152" t="s">
        <v>12</v>
      </c>
      <c r="Q152" s="5">
        <f>tbl_financials[[#This Row],[Net_Sales]]</f>
        <v>22127.64</v>
      </c>
      <c r="R152" s="5">
        <f>ROUND(tbl_financials[[#This Row],[Revenue]]*(0.12+MOD(ROW(),7)/100),2)</f>
        <v>3761.7</v>
      </c>
      <c r="S152" s="7">
        <f t="shared" si="2"/>
        <v>5712</v>
      </c>
      <c r="T152" s="5">
        <f>tbl_financials[[#This Row],[Gross_Profit]]-tbl_financials[[#This Row],[Operating_Expenses]]+tbl_financials[[#This Row],[Other_Income]]</f>
        <v>18374.939999999999</v>
      </c>
      <c r="U152" s="11">
        <f>IF(tbl_financials[[#This Row],[Revenue]]=0,0,tbl_financials[[#This Row],[Net_Profit]]/tbl_financials[[#This Row],[Revenue]])</f>
        <v>0.83040667689821412</v>
      </c>
      <c r="V152" s="11" t="str">
        <f>tbl_financials[[#This Row],[Month_Name]] &amp; "_" &amp; tbl_financials[[#This Row],[Year]]</f>
        <v>June_2014</v>
      </c>
      <c r="W152" s="11" t="str">
        <f>tbl_financials[[#This Row],[Month_Name]] &amp; "_" &amp; (tbl_financials[[#This Row],[Year]]-1)</f>
        <v>June_2013</v>
      </c>
      <c r="X15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53" spans="1:24" x14ac:dyDescent="0.3">
      <c r="A153" t="s">
        <v>7</v>
      </c>
      <c r="B153" t="s">
        <v>15</v>
      </c>
      <c r="C153" t="s">
        <v>33</v>
      </c>
      <c r="D153" t="s">
        <v>39</v>
      </c>
      <c r="E153" s="9">
        <v>544</v>
      </c>
      <c r="F153" s="7">
        <v>5</v>
      </c>
      <c r="G153" s="7">
        <v>7</v>
      </c>
      <c r="H153" s="7">
        <v>3808</v>
      </c>
      <c r="I153" s="5">
        <v>114.24</v>
      </c>
      <c r="J153" s="5">
        <v>3693.76</v>
      </c>
      <c r="K153" s="7">
        <v>2720</v>
      </c>
      <c r="L153" s="5">
        <v>973.76</v>
      </c>
      <c r="M153" s="1">
        <v>41883</v>
      </c>
      <c r="N153">
        <v>9</v>
      </c>
      <c r="O153" t="s">
        <v>26</v>
      </c>
      <c r="P153" t="s">
        <v>12</v>
      </c>
      <c r="Q153" s="5">
        <f>tbl_financials[[#This Row],[Net_Sales]]</f>
        <v>3693.76</v>
      </c>
      <c r="R153" s="5">
        <f>ROUND(tbl_financials[[#This Row],[Revenue]]*(0.12+MOD(ROW(),7)/100),2)</f>
        <v>664.88</v>
      </c>
      <c r="S153" s="7">
        <f t="shared" si="2"/>
        <v>5743</v>
      </c>
      <c r="T153" s="5">
        <f>tbl_financials[[#This Row],[Gross_Profit]]-tbl_financials[[#This Row],[Operating_Expenses]]+tbl_financials[[#This Row],[Other_Income]]</f>
        <v>6051.88</v>
      </c>
      <c r="U153" s="11">
        <f>IF(tbl_financials[[#This Row],[Revenue]]=0,0,tbl_financials[[#This Row],[Net_Profit]]/tbl_financials[[#This Row],[Revenue]])</f>
        <v>1.6384063934852291</v>
      </c>
      <c r="V153" s="11" t="str">
        <f>tbl_financials[[#This Row],[Month_Name]] &amp; "_" &amp; tbl_financials[[#This Row],[Year]]</f>
        <v>September_2014</v>
      </c>
      <c r="W153" s="11" t="str">
        <f>tbl_financials[[#This Row],[Month_Name]] &amp; "_" &amp; (tbl_financials[[#This Row],[Year]]-1)</f>
        <v>September_2013</v>
      </c>
      <c r="X15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-0.55145598057073464</v>
      </c>
    </row>
    <row r="154" spans="1:24" x14ac:dyDescent="0.3">
      <c r="A154" t="s">
        <v>7</v>
      </c>
      <c r="B154" t="s">
        <v>16</v>
      </c>
      <c r="C154" t="s">
        <v>33</v>
      </c>
      <c r="D154" t="s">
        <v>39</v>
      </c>
      <c r="E154" s="9">
        <v>1797</v>
      </c>
      <c r="F154" s="7">
        <v>5</v>
      </c>
      <c r="G154" s="7">
        <v>350</v>
      </c>
      <c r="H154" s="7">
        <v>628950</v>
      </c>
      <c r="I154" s="5">
        <v>18868.5</v>
      </c>
      <c r="J154" s="5">
        <v>610081.5</v>
      </c>
      <c r="K154" s="7">
        <v>467220</v>
      </c>
      <c r="L154" s="5">
        <v>142861.5</v>
      </c>
      <c r="M154" s="1">
        <v>41518</v>
      </c>
      <c r="N154">
        <v>9</v>
      </c>
      <c r="O154" t="s">
        <v>26</v>
      </c>
      <c r="P154" t="s">
        <v>11</v>
      </c>
      <c r="Q154" s="5">
        <f>tbl_financials[[#This Row],[Net_Sales]]</f>
        <v>610081.5</v>
      </c>
      <c r="R154" s="5">
        <f>ROUND(tbl_financials[[#This Row],[Revenue]]*(0.12+MOD(ROW(),7)/100),2)</f>
        <v>73209.78</v>
      </c>
      <c r="S154" s="7">
        <f t="shared" si="2"/>
        <v>5774</v>
      </c>
      <c r="T154" s="5">
        <f>tbl_financials[[#This Row],[Gross_Profit]]-tbl_financials[[#This Row],[Operating_Expenses]]+tbl_financials[[#This Row],[Other_Income]]</f>
        <v>75425.72</v>
      </c>
      <c r="U154" s="11">
        <f>IF(tbl_financials[[#This Row],[Revenue]]=0,0,tbl_financials[[#This Row],[Net_Profit]]/tbl_financials[[#This Row],[Revenue]])</f>
        <v>0.12363220323841978</v>
      </c>
      <c r="V154" s="11" t="str">
        <f>tbl_financials[[#This Row],[Month_Name]] &amp; "_" &amp; tbl_financials[[#This Row],[Year]]</f>
        <v>September_2013</v>
      </c>
      <c r="W154" s="11" t="str">
        <f>tbl_financials[[#This Row],[Month_Name]] &amp; "_" &amp; (tbl_financials[[#This Row],[Year]]-1)</f>
        <v>September_2012</v>
      </c>
      <c r="X15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55" spans="1:24" x14ac:dyDescent="0.3">
      <c r="A155" t="s">
        <v>6</v>
      </c>
      <c r="B155" t="s">
        <v>15</v>
      </c>
      <c r="C155" t="s">
        <v>33</v>
      </c>
      <c r="D155" t="s">
        <v>39</v>
      </c>
      <c r="E155" s="9">
        <v>1287</v>
      </c>
      <c r="F155" s="7">
        <v>5</v>
      </c>
      <c r="G155" s="7">
        <v>125</v>
      </c>
      <c r="H155" s="7">
        <v>160875</v>
      </c>
      <c r="I155" s="5">
        <v>4826.25</v>
      </c>
      <c r="J155" s="5">
        <v>156048.75</v>
      </c>
      <c r="K155" s="7">
        <v>154440</v>
      </c>
      <c r="L155" s="5">
        <v>1608.75</v>
      </c>
      <c r="M155" s="1">
        <v>41974</v>
      </c>
      <c r="N155">
        <v>12</v>
      </c>
      <c r="O155" t="s">
        <v>29</v>
      </c>
      <c r="P155" t="s">
        <v>12</v>
      </c>
      <c r="Q155" s="5">
        <f>tbl_financials[[#This Row],[Net_Sales]]</f>
        <v>156048.75</v>
      </c>
      <c r="R155" s="5">
        <f>ROUND(tbl_financials[[#This Row],[Revenue]]*(0.12+MOD(ROW(),7)/100),2)</f>
        <v>20286.34</v>
      </c>
      <c r="S155" s="7">
        <f t="shared" si="2"/>
        <v>5805</v>
      </c>
      <c r="T155" s="5">
        <f>tbl_financials[[#This Row],[Gross_Profit]]-tbl_financials[[#This Row],[Operating_Expenses]]+tbl_financials[[#This Row],[Other_Income]]</f>
        <v>-12872.59</v>
      </c>
      <c r="U155" s="11">
        <f>IF(tbl_financials[[#This Row],[Revenue]]=0,0,tbl_financials[[#This Row],[Net_Profit]]/tbl_financials[[#This Row],[Revenue]])</f>
        <v>-8.2490824181545838E-2</v>
      </c>
      <c r="V155" s="11" t="str">
        <f>tbl_financials[[#This Row],[Month_Name]] &amp; "_" &amp; tbl_financials[[#This Row],[Year]]</f>
        <v>December_2014</v>
      </c>
      <c r="W155" s="11" t="str">
        <f>tbl_financials[[#This Row],[Month_Name]] &amp; "_" &amp; (tbl_financials[[#This Row],[Year]]-1)</f>
        <v>December_2013</v>
      </c>
      <c r="X15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3.8342239776951672</v>
      </c>
    </row>
    <row r="156" spans="1:24" x14ac:dyDescent="0.3">
      <c r="A156" t="s">
        <v>6</v>
      </c>
      <c r="B156" t="s">
        <v>16</v>
      </c>
      <c r="C156" t="s">
        <v>33</v>
      </c>
      <c r="D156" t="s">
        <v>39</v>
      </c>
      <c r="E156" s="9">
        <v>1706</v>
      </c>
      <c r="F156" s="7">
        <v>5</v>
      </c>
      <c r="G156" s="7">
        <v>125</v>
      </c>
      <c r="H156" s="7">
        <v>213250</v>
      </c>
      <c r="I156" s="5">
        <v>6397.5</v>
      </c>
      <c r="J156" s="5">
        <v>206852.5</v>
      </c>
      <c r="K156" s="7">
        <v>204720</v>
      </c>
      <c r="L156" s="5">
        <v>2132.5</v>
      </c>
      <c r="M156" s="1">
        <v>41974</v>
      </c>
      <c r="N156">
        <v>12</v>
      </c>
      <c r="O156" t="s">
        <v>29</v>
      </c>
      <c r="P156" t="s">
        <v>12</v>
      </c>
      <c r="Q156" s="5">
        <f>tbl_financials[[#This Row],[Net_Sales]]</f>
        <v>206852.5</v>
      </c>
      <c r="R156" s="5">
        <f>ROUND(tbl_financials[[#This Row],[Revenue]]*(0.12+MOD(ROW(),7)/100),2)</f>
        <v>28959.35</v>
      </c>
      <c r="S156" s="7">
        <f t="shared" si="2"/>
        <v>5836</v>
      </c>
      <c r="T156" s="5">
        <f>tbl_financials[[#This Row],[Gross_Profit]]-tbl_financials[[#This Row],[Operating_Expenses]]+tbl_financials[[#This Row],[Other_Income]]</f>
        <v>-20990.85</v>
      </c>
      <c r="U156" s="11">
        <f>IF(tbl_financials[[#This Row],[Revenue]]=0,0,tbl_financials[[#This Row],[Net_Profit]]/tbl_financials[[#This Row],[Revenue]])</f>
        <v>-0.10147738122575264</v>
      </c>
      <c r="V156" s="11" t="str">
        <f>tbl_financials[[#This Row],[Month_Name]] &amp; "_" &amp; tbl_financials[[#This Row],[Year]]</f>
        <v>December_2014</v>
      </c>
      <c r="W156" s="11" t="str">
        <f>tbl_financials[[#This Row],[Month_Name]] &amp; "_" &amp; (tbl_financials[[#This Row],[Year]]-1)</f>
        <v>December_2013</v>
      </c>
      <c r="X15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5.4080700123915735</v>
      </c>
    </row>
    <row r="157" spans="1:24" x14ac:dyDescent="0.3">
      <c r="A157" t="s">
        <v>4</v>
      </c>
      <c r="B157" t="s">
        <v>15</v>
      </c>
      <c r="C157" t="s">
        <v>34</v>
      </c>
      <c r="D157" t="s">
        <v>39</v>
      </c>
      <c r="E157" s="9">
        <v>2434.5</v>
      </c>
      <c r="F157" s="7">
        <v>10</v>
      </c>
      <c r="G157" s="7">
        <v>300</v>
      </c>
      <c r="H157" s="7">
        <v>730350</v>
      </c>
      <c r="I157" s="5">
        <v>21910.5</v>
      </c>
      <c r="J157" s="5">
        <v>708439.5</v>
      </c>
      <c r="K157" s="7">
        <v>608625</v>
      </c>
      <c r="L157" s="5">
        <v>99814.5</v>
      </c>
      <c r="M157" s="1">
        <v>41640</v>
      </c>
      <c r="N157">
        <v>1</v>
      </c>
      <c r="O157" t="s">
        <v>18</v>
      </c>
      <c r="P157" t="s">
        <v>12</v>
      </c>
      <c r="Q157" s="5">
        <f>tbl_financials[[#This Row],[Net_Sales]]</f>
        <v>708439.5</v>
      </c>
      <c r="R157" s="5">
        <f>ROUND(tbl_financials[[#This Row],[Revenue]]*(0.12+MOD(ROW(),7)/100),2)</f>
        <v>106265.93</v>
      </c>
      <c r="S157" s="7">
        <f t="shared" si="2"/>
        <v>5867</v>
      </c>
      <c r="T157" s="5">
        <f>tbl_financials[[#This Row],[Gross_Profit]]-tbl_financials[[#This Row],[Operating_Expenses]]+tbl_financials[[#This Row],[Other_Income]]</f>
        <v>-584.42999999999302</v>
      </c>
      <c r="U157" s="11">
        <f>IF(tbl_financials[[#This Row],[Revenue]]=0,0,tbl_financials[[#This Row],[Net_Profit]]/tbl_financials[[#This Row],[Revenue]])</f>
        <v>-8.249540010120737E-4</v>
      </c>
      <c r="V157" s="11" t="str">
        <f>tbl_financials[[#This Row],[Month_Name]] &amp; "_" &amp; tbl_financials[[#This Row],[Year]]</f>
        <v>January_2014</v>
      </c>
      <c r="W157" s="11" t="str">
        <f>tbl_financials[[#This Row],[Month_Name]] &amp; "_" &amp; (tbl_financials[[#This Row],[Year]]-1)</f>
        <v>January_2013</v>
      </c>
      <c r="X15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58" spans="1:24" x14ac:dyDescent="0.3">
      <c r="A158" t="s">
        <v>6</v>
      </c>
      <c r="B158" t="s">
        <v>13</v>
      </c>
      <c r="C158" t="s">
        <v>34</v>
      </c>
      <c r="D158" t="s">
        <v>39</v>
      </c>
      <c r="E158" s="9">
        <v>1774</v>
      </c>
      <c r="F158" s="7">
        <v>10</v>
      </c>
      <c r="G158" s="7">
        <v>125</v>
      </c>
      <c r="H158" s="7">
        <v>221750</v>
      </c>
      <c r="I158" s="5">
        <v>6652.5</v>
      </c>
      <c r="J158" s="5">
        <v>215097.5</v>
      </c>
      <c r="K158" s="7">
        <v>212880</v>
      </c>
      <c r="L158" s="5">
        <v>2217.5</v>
      </c>
      <c r="M158" s="1">
        <v>41699</v>
      </c>
      <c r="N158">
        <v>3</v>
      </c>
      <c r="O158" t="s">
        <v>20</v>
      </c>
      <c r="P158" t="s">
        <v>12</v>
      </c>
      <c r="Q158" s="5">
        <f>tbl_financials[[#This Row],[Net_Sales]]</f>
        <v>215097.5</v>
      </c>
      <c r="R158" s="5">
        <f>ROUND(tbl_financials[[#This Row],[Revenue]]*(0.12+MOD(ROW(),7)/100),2)</f>
        <v>34415.599999999999</v>
      </c>
      <c r="S158" s="7">
        <f t="shared" si="2"/>
        <v>5898</v>
      </c>
      <c r="T158" s="5">
        <f>tbl_financials[[#This Row],[Gross_Profit]]-tbl_financials[[#This Row],[Operating_Expenses]]+tbl_financials[[#This Row],[Other_Income]]</f>
        <v>-26300.1</v>
      </c>
      <c r="U158" s="11">
        <f>IF(tbl_financials[[#This Row],[Revenue]]=0,0,tbl_financials[[#This Row],[Net_Profit]]/tbl_financials[[#This Row],[Revenue]])</f>
        <v>-0.12227059821708759</v>
      </c>
      <c r="V158" s="11" t="str">
        <f>tbl_financials[[#This Row],[Month_Name]] &amp; "_" &amp; tbl_financials[[#This Row],[Year]]</f>
        <v>March_2014</v>
      </c>
      <c r="W158" s="11" t="str">
        <f>tbl_financials[[#This Row],[Month_Name]] &amp; "_" &amp; (tbl_financials[[#This Row],[Year]]-1)</f>
        <v>March_2013</v>
      </c>
      <c r="X15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59" spans="1:24" x14ac:dyDescent="0.3">
      <c r="A159" t="s">
        <v>8</v>
      </c>
      <c r="B159" t="s">
        <v>15</v>
      </c>
      <c r="C159" t="s">
        <v>34</v>
      </c>
      <c r="D159" t="s">
        <v>39</v>
      </c>
      <c r="E159" s="9">
        <v>1901</v>
      </c>
      <c r="F159" s="7">
        <v>10</v>
      </c>
      <c r="G159" s="7">
        <v>12</v>
      </c>
      <c r="H159" s="7">
        <v>22812</v>
      </c>
      <c r="I159" s="5">
        <v>684.36</v>
      </c>
      <c r="J159" s="5">
        <v>22127.64</v>
      </c>
      <c r="K159" s="7">
        <v>5703</v>
      </c>
      <c r="L159" s="5">
        <v>16424.64</v>
      </c>
      <c r="M159" s="1">
        <v>41791</v>
      </c>
      <c r="N159">
        <v>6</v>
      </c>
      <c r="O159" t="s">
        <v>23</v>
      </c>
      <c r="P159" t="s">
        <v>12</v>
      </c>
      <c r="Q159" s="5">
        <f>tbl_financials[[#This Row],[Net_Sales]]</f>
        <v>22127.64</v>
      </c>
      <c r="R159" s="5">
        <f>ROUND(tbl_financials[[#This Row],[Revenue]]*(0.12+MOD(ROW(),7)/100),2)</f>
        <v>3761.7</v>
      </c>
      <c r="S159" s="7">
        <f t="shared" si="2"/>
        <v>5929</v>
      </c>
      <c r="T159" s="5">
        <f>tbl_financials[[#This Row],[Gross_Profit]]-tbl_financials[[#This Row],[Operating_Expenses]]+tbl_financials[[#This Row],[Other_Income]]</f>
        <v>18591.939999999999</v>
      </c>
      <c r="U159" s="11">
        <f>IF(tbl_financials[[#This Row],[Revenue]]=0,0,tbl_financials[[#This Row],[Net_Profit]]/tbl_financials[[#This Row],[Revenue]])</f>
        <v>0.84021341634263746</v>
      </c>
      <c r="V159" s="11" t="str">
        <f>tbl_financials[[#This Row],[Month_Name]] &amp; "_" &amp; tbl_financials[[#This Row],[Year]]</f>
        <v>June_2014</v>
      </c>
      <c r="W159" s="11" t="str">
        <f>tbl_financials[[#This Row],[Month_Name]] &amp; "_" &amp; (tbl_financials[[#This Row],[Year]]-1)</f>
        <v>June_2013</v>
      </c>
      <c r="X15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60" spans="1:24" x14ac:dyDescent="0.3">
      <c r="A160" t="s">
        <v>4</v>
      </c>
      <c r="B160" t="s">
        <v>16</v>
      </c>
      <c r="C160" t="s">
        <v>34</v>
      </c>
      <c r="D160" t="s">
        <v>39</v>
      </c>
      <c r="E160" s="9">
        <v>689</v>
      </c>
      <c r="F160" s="7">
        <v>10</v>
      </c>
      <c r="G160" s="7">
        <v>300</v>
      </c>
      <c r="H160" s="7">
        <v>206700</v>
      </c>
      <c r="I160" s="5">
        <v>6201</v>
      </c>
      <c r="J160" s="5">
        <v>200499</v>
      </c>
      <c r="K160" s="7">
        <v>172250</v>
      </c>
      <c r="L160" s="5">
        <v>28249</v>
      </c>
      <c r="M160" s="1">
        <v>41791</v>
      </c>
      <c r="N160">
        <v>6</v>
      </c>
      <c r="O160" t="s">
        <v>23</v>
      </c>
      <c r="P160" t="s">
        <v>12</v>
      </c>
      <c r="Q160" s="5">
        <f>tbl_financials[[#This Row],[Net_Sales]]</f>
        <v>200499</v>
      </c>
      <c r="R160" s="5">
        <f>ROUND(tbl_financials[[#This Row],[Revenue]]*(0.12+MOD(ROW(),7)/100),2)</f>
        <v>36089.82</v>
      </c>
      <c r="S160" s="7">
        <f t="shared" si="2"/>
        <v>5960</v>
      </c>
      <c r="T160" s="5">
        <f>tbl_financials[[#This Row],[Gross_Profit]]-tbl_financials[[#This Row],[Operating_Expenses]]+tbl_financials[[#This Row],[Other_Income]]</f>
        <v>-1880.8199999999997</v>
      </c>
      <c r="U160" s="11">
        <f>IF(tbl_financials[[#This Row],[Revenue]]=0,0,tbl_financials[[#This Row],[Net_Profit]]/tbl_financials[[#This Row],[Revenue]])</f>
        <v>-9.3806951655619215E-3</v>
      </c>
      <c r="V160" s="11" t="str">
        <f>tbl_financials[[#This Row],[Month_Name]] &amp; "_" &amp; tbl_financials[[#This Row],[Year]]</f>
        <v>June_2014</v>
      </c>
      <c r="W160" s="11" t="str">
        <f>tbl_financials[[#This Row],[Month_Name]] &amp; "_" &amp; (tbl_financials[[#This Row],[Year]]-1)</f>
        <v>June_2013</v>
      </c>
      <c r="X16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61" spans="1:24" x14ac:dyDescent="0.3">
      <c r="A161" t="s">
        <v>6</v>
      </c>
      <c r="B161" t="s">
        <v>16</v>
      </c>
      <c r="C161" t="s">
        <v>34</v>
      </c>
      <c r="D161" t="s">
        <v>39</v>
      </c>
      <c r="E161" s="9">
        <v>1570</v>
      </c>
      <c r="F161" s="7">
        <v>10</v>
      </c>
      <c r="G161" s="7">
        <v>125</v>
      </c>
      <c r="H161" s="7">
        <v>196250</v>
      </c>
      <c r="I161" s="5">
        <v>5887.5</v>
      </c>
      <c r="J161" s="5">
        <v>190362.5</v>
      </c>
      <c r="K161" s="7">
        <v>188400</v>
      </c>
      <c r="L161" s="5">
        <v>1962.5</v>
      </c>
      <c r="M161" s="1">
        <v>41791</v>
      </c>
      <c r="N161">
        <v>6</v>
      </c>
      <c r="O161" t="s">
        <v>23</v>
      </c>
      <c r="P161" t="s">
        <v>12</v>
      </c>
      <c r="Q161" s="5">
        <f>tbl_financials[[#This Row],[Net_Sales]]</f>
        <v>190362.5</v>
      </c>
      <c r="R161" s="5">
        <f>ROUND(tbl_financials[[#This Row],[Revenue]]*(0.12+MOD(ROW(),7)/100),2)</f>
        <v>22843.5</v>
      </c>
      <c r="S161" s="7">
        <f t="shared" si="2"/>
        <v>5991</v>
      </c>
      <c r="T161" s="5">
        <f>tbl_financials[[#This Row],[Gross_Profit]]-tbl_financials[[#This Row],[Operating_Expenses]]+tbl_financials[[#This Row],[Other_Income]]</f>
        <v>-14890</v>
      </c>
      <c r="U161" s="11">
        <f>IF(tbl_financials[[#This Row],[Revenue]]=0,0,tbl_financials[[#This Row],[Net_Profit]]/tbl_financials[[#This Row],[Revenue]])</f>
        <v>-7.8219187077286756E-2</v>
      </c>
      <c r="V161" s="11" t="str">
        <f>tbl_financials[[#This Row],[Month_Name]] &amp; "_" &amp; tbl_financials[[#This Row],[Year]]</f>
        <v>June_2014</v>
      </c>
      <c r="W161" s="11" t="str">
        <f>tbl_financials[[#This Row],[Month_Name]] &amp; "_" &amp; (tbl_financials[[#This Row],[Year]]-1)</f>
        <v>June_2013</v>
      </c>
      <c r="X16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62" spans="1:24" x14ac:dyDescent="0.3">
      <c r="A162" t="s">
        <v>8</v>
      </c>
      <c r="B162" t="s">
        <v>14</v>
      </c>
      <c r="C162" t="s">
        <v>34</v>
      </c>
      <c r="D162" t="s">
        <v>39</v>
      </c>
      <c r="E162" s="9">
        <v>1369.5</v>
      </c>
      <c r="F162" s="7">
        <v>10</v>
      </c>
      <c r="G162" s="7">
        <v>12</v>
      </c>
      <c r="H162" s="7">
        <v>16434</v>
      </c>
      <c r="I162" s="5">
        <v>493.02</v>
      </c>
      <c r="J162" s="5">
        <v>15940.98</v>
      </c>
      <c r="K162" s="7">
        <v>4108.5</v>
      </c>
      <c r="L162" s="5">
        <v>11832.48</v>
      </c>
      <c r="M162" s="1">
        <v>41821</v>
      </c>
      <c r="N162">
        <v>7</v>
      </c>
      <c r="O162" t="s">
        <v>24</v>
      </c>
      <c r="P162" t="s">
        <v>12</v>
      </c>
      <c r="Q162" s="5">
        <f>tbl_financials[[#This Row],[Net_Sales]]</f>
        <v>15940.98</v>
      </c>
      <c r="R162" s="5">
        <f>ROUND(tbl_financials[[#This Row],[Revenue]]*(0.12+MOD(ROW(),7)/100),2)</f>
        <v>2072.33</v>
      </c>
      <c r="S162" s="7">
        <f t="shared" si="2"/>
        <v>6022</v>
      </c>
      <c r="T162" s="5">
        <f>tbl_financials[[#This Row],[Gross_Profit]]-tbl_financials[[#This Row],[Operating_Expenses]]+tbl_financials[[#This Row],[Other_Income]]</f>
        <v>15782.15</v>
      </c>
      <c r="U162" s="11">
        <f>IF(tbl_financials[[#This Row],[Revenue]]=0,0,tbl_financials[[#This Row],[Net_Profit]]/tbl_financials[[#This Row],[Revenue]])</f>
        <v>0.99003637166598291</v>
      </c>
      <c r="V162" s="11" t="str">
        <f>tbl_financials[[#This Row],[Month_Name]] &amp; "_" &amp; tbl_financials[[#This Row],[Year]]</f>
        <v>July_2014</v>
      </c>
      <c r="W162" s="11" t="str">
        <f>tbl_financials[[#This Row],[Month_Name]] &amp; "_" &amp; (tbl_financials[[#This Row],[Year]]-1)</f>
        <v>July_2013</v>
      </c>
      <c r="X16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63" spans="1:24" x14ac:dyDescent="0.3">
      <c r="A163" t="s">
        <v>6</v>
      </c>
      <c r="B163" t="s">
        <v>13</v>
      </c>
      <c r="C163" t="s">
        <v>34</v>
      </c>
      <c r="D163" t="s">
        <v>39</v>
      </c>
      <c r="E163" s="9">
        <v>2009</v>
      </c>
      <c r="F163" s="7">
        <v>10</v>
      </c>
      <c r="G163" s="7">
        <v>125</v>
      </c>
      <c r="H163" s="7">
        <v>251125</v>
      </c>
      <c r="I163" s="5">
        <v>7533.75</v>
      </c>
      <c r="J163" s="5">
        <v>243591.25</v>
      </c>
      <c r="K163" s="7">
        <v>241080</v>
      </c>
      <c r="L163" s="5">
        <v>2511.25</v>
      </c>
      <c r="M163" s="1">
        <v>41913</v>
      </c>
      <c r="N163">
        <v>10</v>
      </c>
      <c r="O163" t="s">
        <v>27</v>
      </c>
      <c r="P163" t="s">
        <v>12</v>
      </c>
      <c r="Q163" s="5">
        <f>tbl_financials[[#This Row],[Net_Sales]]</f>
        <v>243591.25</v>
      </c>
      <c r="R163" s="5">
        <f>ROUND(tbl_financials[[#This Row],[Revenue]]*(0.12+MOD(ROW(),7)/100),2)</f>
        <v>34102.78</v>
      </c>
      <c r="S163" s="7">
        <f t="shared" si="2"/>
        <v>6053</v>
      </c>
      <c r="T163" s="5">
        <f>tbl_financials[[#This Row],[Gross_Profit]]-tbl_financials[[#This Row],[Operating_Expenses]]+tbl_financials[[#This Row],[Other_Income]]</f>
        <v>-25538.53</v>
      </c>
      <c r="U163" s="11">
        <f>IF(tbl_financials[[#This Row],[Revenue]]=0,0,tbl_financials[[#This Row],[Net_Profit]]/tbl_financials[[#This Row],[Revenue]])</f>
        <v>-0.10484173795241003</v>
      </c>
      <c r="V163" s="11" t="str">
        <f>tbl_financials[[#This Row],[Month_Name]] &amp; "_" &amp; tbl_financials[[#This Row],[Year]]</f>
        <v>October_2014</v>
      </c>
      <c r="W163" s="11" t="str">
        <f>tbl_financials[[#This Row],[Month_Name]] &amp; "_" &amp; (tbl_financials[[#This Row],[Year]]-1)</f>
        <v>October_2013</v>
      </c>
      <c r="X16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4.6484927536231888</v>
      </c>
    </row>
    <row r="164" spans="1:24" x14ac:dyDescent="0.3">
      <c r="A164" t="s">
        <v>5</v>
      </c>
      <c r="B164" t="s">
        <v>16</v>
      </c>
      <c r="C164" t="s">
        <v>34</v>
      </c>
      <c r="D164" t="s">
        <v>39</v>
      </c>
      <c r="E164" s="9">
        <v>1945</v>
      </c>
      <c r="F164" s="7">
        <v>10</v>
      </c>
      <c r="G164" s="7">
        <v>15</v>
      </c>
      <c r="H164" s="7">
        <v>29175</v>
      </c>
      <c r="I164" s="5">
        <v>875.25</v>
      </c>
      <c r="J164" s="5">
        <v>28299.75</v>
      </c>
      <c r="K164" s="7">
        <v>19450</v>
      </c>
      <c r="L164" s="5">
        <v>8849.75</v>
      </c>
      <c r="M164" s="1">
        <v>41548</v>
      </c>
      <c r="N164">
        <v>10</v>
      </c>
      <c r="O164" t="s">
        <v>27</v>
      </c>
      <c r="P164" t="s">
        <v>11</v>
      </c>
      <c r="Q164" s="5">
        <f>tbl_financials[[#This Row],[Net_Sales]]</f>
        <v>28299.75</v>
      </c>
      <c r="R164" s="5">
        <f>ROUND(tbl_financials[[#This Row],[Revenue]]*(0.12+MOD(ROW(),7)/100),2)</f>
        <v>4244.96</v>
      </c>
      <c r="S164" s="7">
        <f t="shared" si="2"/>
        <v>6084</v>
      </c>
      <c r="T164" s="5">
        <f>tbl_financials[[#This Row],[Gross_Profit]]-tbl_financials[[#This Row],[Operating_Expenses]]+tbl_financials[[#This Row],[Other_Income]]</f>
        <v>10688.79</v>
      </c>
      <c r="U164" s="11">
        <f>IF(tbl_financials[[#This Row],[Revenue]]=0,0,tbl_financials[[#This Row],[Net_Profit]]/tbl_financials[[#This Row],[Revenue]])</f>
        <v>0.37769909628176929</v>
      </c>
      <c r="V164" s="11" t="str">
        <f>tbl_financials[[#This Row],[Month_Name]] &amp; "_" &amp; tbl_financials[[#This Row],[Year]]</f>
        <v>October_2013</v>
      </c>
      <c r="W164" s="11" t="str">
        <f>tbl_financials[[#This Row],[Month_Name]] &amp; "_" &amp; (tbl_financials[[#This Row],[Year]]-1)</f>
        <v>October_2012</v>
      </c>
      <c r="X16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65" spans="1:24" x14ac:dyDescent="0.3">
      <c r="A165" t="s">
        <v>6</v>
      </c>
      <c r="B165" t="s">
        <v>15</v>
      </c>
      <c r="C165" t="s">
        <v>34</v>
      </c>
      <c r="D165" t="s">
        <v>39</v>
      </c>
      <c r="E165" s="9">
        <v>1287</v>
      </c>
      <c r="F165" s="7">
        <v>10</v>
      </c>
      <c r="G165" s="7">
        <v>125</v>
      </c>
      <c r="H165" s="7">
        <v>160875</v>
      </c>
      <c r="I165" s="5">
        <v>4826.25</v>
      </c>
      <c r="J165" s="5">
        <v>156048.75</v>
      </c>
      <c r="K165" s="7">
        <v>154440</v>
      </c>
      <c r="L165" s="5">
        <v>1608.75</v>
      </c>
      <c r="M165" s="1">
        <v>41974</v>
      </c>
      <c r="N165">
        <v>12</v>
      </c>
      <c r="O165" t="s">
        <v>29</v>
      </c>
      <c r="P165" t="s">
        <v>12</v>
      </c>
      <c r="Q165" s="5">
        <f>tbl_financials[[#This Row],[Net_Sales]]</f>
        <v>156048.75</v>
      </c>
      <c r="R165" s="5">
        <f>ROUND(tbl_financials[[#This Row],[Revenue]]*(0.12+MOD(ROW(),7)/100),2)</f>
        <v>24967.8</v>
      </c>
      <c r="S165" s="7">
        <f t="shared" si="2"/>
        <v>6115</v>
      </c>
      <c r="T165" s="5">
        <f>tbl_financials[[#This Row],[Gross_Profit]]-tbl_financials[[#This Row],[Operating_Expenses]]+tbl_financials[[#This Row],[Other_Income]]</f>
        <v>-17244.05</v>
      </c>
      <c r="U165" s="11">
        <f>IF(tbl_financials[[#This Row],[Revenue]]=0,0,tbl_financials[[#This Row],[Net_Profit]]/tbl_financials[[#This Row],[Revenue]])</f>
        <v>-0.11050424947332163</v>
      </c>
      <c r="V165" s="11" t="str">
        <f>tbl_financials[[#This Row],[Month_Name]] &amp; "_" &amp; tbl_financials[[#This Row],[Year]]</f>
        <v>December_2014</v>
      </c>
      <c r="W165" s="11" t="str">
        <f>tbl_financials[[#This Row],[Month_Name]] &amp; "_" &amp; (tbl_financials[[#This Row],[Year]]-1)</f>
        <v>December_2013</v>
      </c>
      <c r="X16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3.8342239776951672</v>
      </c>
    </row>
    <row r="166" spans="1:24" x14ac:dyDescent="0.3">
      <c r="A166" t="s">
        <v>6</v>
      </c>
      <c r="B166" t="s">
        <v>16</v>
      </c>
      <c r="C166" t="s">
        <v>34</v>
      </c>
      <c r="D166" t="s">
        <v>39</v>
      </c>
      <c r="E166" s="9">
        <v>1706</v>
      </c>
      <c r="F166" s="7">
        <v>10</v>
      </c>
      <c r="G166" s="7">
        <v>125</v>
      </c>
      <c r="H166" s="7">
        <v>213250</v>
      </c>
      <c r="I166" s="5">
        <v>6397.5</v>
      </c>
      <c r="J166" s="5">
        <v>206852.5</v>
      </c>
      <c r="K166" s="7">
        <v>204720</v>
      </c>
      <c r="L166" s="5">
        <v>2132.5</v>
      </c>
      <c r="M166" s="1">
        <v>41974</v>
      </c>
      <c r="N166">
        <v>12</v>
      </c>
      <c r="O166" t="s">
        <v>29</v>
      </c>
      <c r="P166" t="s">
        <v>12</v>
      </c>
      <c r="Q166" s="5">
        <f>tbl_financials[[#This Row],[Net_Sales]]</f>
        <v>206852.5</v>
      </c>
      <c r="R166" s="5">
        <f>ROUND(tbl_financials[[#This Row],[Revenue]]*(0.12+MOD(ROW(),7)/100),2)</f>
        <v>35164.93</v>
      </c>
      <c r="S166" s="7">
        <f t="shared" si="2"/>
        <v>6146</v>
      </c>
      <c r="T166" s="5">
        <f>tbl_financials[[#This Row],[Gross_Profit]]-tbl_financials[[#This Row],[Operating_Expenses]]+tbl_financials[[#This Row],[Other_Income]]</f>
        <v>-26886.43</v>
      </c>
      <c r="U166" s="11">
        <f>IF(tbl_financials[[#This Row],[Revenue]]=0,0,tbl_financials[[#This Row],[Net_Profit]]/tbl_financials[[#This Row],[Revenue]])</f>
        <v>-0.12997875297615452</v>
      </c>
      <c r="V166" s="11" t="str">
        <f>tbl_financials[[#This Row],[Month_Name]] &amp; "_" &amp; tbl_financials[[#This Row],[Year]]</f>
        <v>December_2014</v>
      </c>
      <c r="W166" s="11" t="str">
        <f>tbl_financials[[#This Row],[Month_Name]] &amp; "_" &amp; (tbl_financials[[#This Row],[Year]]-1)</f>
        <v>December_2013</v>
      </c>
      <c r="X16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5.4080700123915735</v>
      </c>
    </row>
    <row r="167" spans="1:24" x14ac:dyDescent="0.3">
      <c r="A167" t="s">
        <v>6</v>
      </c>
      <c r="B167" t="s">
        <v>13</v>
      </c>
      <c r="C167" t="s">
        <v>35</v>
      </c>
      <c r="D167" t="s">
        <v>39</v>
      </c>
      <c r="E167" s="9">
        <v>2009</v>
      </c>
      <c r="F167" s="7">
        <v>120</v>
      </c>
      <c r="G167" s="7">
        <v>125</v>
      </c>
      <c r="H167" s="7">
        <v>251125</v>
      </c>
      <c r="I167" s="5">
        <v>7533.75</v>
      </c>
      <c r="J167" s="5">
        <v>243591.25</v>
      </c>
      <c r="K167" s="7">
        <v>241080</v>
      </c>
      <c r="L167" s="5">
        <v>2511.25</v>
      </c>
      <c r="M167" s="1">
        <v>41913</v>
      </c>
      <c r="N167">
        <v>10</v>
      </c>
      <c r="O167" t="s">
        <v>27</v>
      </c>
      <c r="P167" t="s">
        <v>12</v>
      </c>
      <c r="Q167" s="5">
        <f>tbl_financials[[#This Row],[Net_Sales]]</f>
        <v>243591.25</v>
      </c>
      <c r="R167" s="5">
        <f>ROUND(tbl_financials[[#This Row],[Revenue]]*(0.12+MOD(ROW(),7)/100),2)</f>
        <v>43846.43</v>
      </c>
      <c r="S167" s="7">
        <f t="shared" si="2"/>
        <v>6177</v>
      </c>
      <c r="T167" s="5">
        <f>tbl_financials[[#This Row],[Gross_Profit]]-tbl_financials[[#This Row],[Operating_Expenses]]+tbl_financials[[#This Row],[Other_Income]]</f>
        <v>-35158.18</v>
      </c>
      <c r="U167" s="11">
        <f>IF(tbl_financials[[#This Row],[Revenue]]=0,0,tbl_financials[[#This Row],[Net_Profit]]/tbl_financials[[#This Row],[Revenue]])</f>
        <v>-0.14433268846890027</v>
      </c>
      <c r="V167" s="11" t="str">
        <f>tbl_financials[[#This Row],[Month_Name]] &amp; "_" &amp; tbl_financials[[#This Row],[Year]]</f>
        <v>October_2014</v>
      </c>
      <c r="W167" s="11" t="str">
        <f>tbl_financials[[#This Row],[Month_Name]] &amp; "_" &amp; (tbl_financials[[#This Row],[Year]]-1)</f>
        <v>October_2013</v>
      </c>
      <c r="X16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4.6484927536231888</v>
      </c>
    </row>
    <row r="168" spans="1:24" x14ac:dyDescent="0.3">
      <c r="A168" t="s">
        <v>4</v>
      </c>
      <c r="B168" t="s">
        <v>14</v>
      </c>
      <c r="C168" t="s">
        <v>36</v>
      </c>
      <c r="D168" t="s">
        <v>39</v>
      </c>
      <c r="E168" s="9">
        <v>2844</v>
      </c>
      <c r="F168" s="7">
        <v>250</v>
      </c>
      <c r="G168" s="7">
        <v>300</v>
      </c>
      <c r="H168" s="7">
        <v>853200</v>
      </c>
      <c r="I168" s="5">
        <v>25596</v>
      </c>
      <c r="J168" s="5">
        <v>827604</v>
      </c>
      <c r="K168" s="7">
        <v>711000</v>
      </c>
      <c r="L168" s="5">
        <v>116604</v>
      </c>
      <c r="M168" s="1">
        <v>41671</v>
      </c>
      <c r="N168">
        <v>2</v>
      </c>
      <c r="O168" t="s">
        <v>19</v>
      </c>
      <c r="P168" t="s">
        <v>12</v>
      </c>
      <c r="Q168" s="5">
        <f>tbl_financials[[#This Row],[Net_Sales]]</f>
        <v>827604</v>
      </c>
      <c r="R168" s="5">
        <f>ROUND(tbl_financials[[#This Row],[Revenue]]*(0.12+MOD(ROW(),7)/100),2)</f>
        <v>99312.48</v>
      </c>
      <c r="S168" s="7">
        <f t="shared" si="2"/>
        <v>6208</v>
      </c>
      <c r="T168" s="5">
        <f>tbl_financials[[#This Row],[Gross_Profit]]-tbl_financials[[#This Row],[Operating_Expenses]]+tbl_financials[[#This Row],[Other_Income]]</f>
        <v>23499.520000000004</v>
      </c>
      <c r="U168" s="11">
        <f>IF(tbl_financials[[#This Row],[Revenue]]=0,0,tbl_financials[[#This Row],[Net_Profit]]/tbl_financials[[#This Row],[Revenue]])</f>
        <v>2.8394642848512095E-2</v>
      </c>
      <c r="V168" s="11" t="str">
        <f>tbl_financials[[#This Row],[Month_Name]] &amp; "_" &amp; tbl_financials[[#This Row],[Year]]</f>
        <v>February_2014</v>
      </c>
      <c r="W168" s="11" t="str">
        <f>tbl_financials[[#This Row],[Month_Name]] &amp; "_" &amp; (tbl_financials[[#This Row],[Year]]-1)</f>
        <v>February_2013</v>
      </c>
      <c r="X16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69" spans="1:24" x14ac:dyDescent="0.3">
      <c r="A169" t="s">
        <v>8</v>
      </c>
      <c r="B169" t="s">
        <v>17</v>
      </c>
      <c r="C169" t="s">
        <v>36</v>
      </c>
      <c r="D169" t="s">
        <v>39</v>
      </c>
      <c r="E169" s="9">
        <v>1916</v>
      </c>
      <c r="F169" s="7">
        <v>250</v>
      </c>
      <c r="G169" s="7">
        <v>12</v>
      </c>
      <c r="H169" s="7">
        <v>22992</v>
      </c>
      <c r="I169" s="5">
        <v>689.76</v>
      </c>
      <c r="J169" s="5">
        <v>22302.240000000002</v>
      </c>
      <c r="K169" s="7">
        <v>5748</v>
      </c>
      <c r="L169" s="5">
        <v>16554.240000000002</v>
      </c>
      <c r="M169" s="1">
        <v>41730</v>
      </c>
      <c r="N169">
        <v>4</v>
      </c>
      <c r="O169" t="s">
        <v>21</v>
      </c>
      <c r="P169" t="s">
        <v>12</v>
      </c>
      <c r="Q169" s="5">
        <f>tbl_financials[[#This Row],[Net_Sales]]</f>
        <v>22302.240000000002</v>
      </c>
      <c r="R169" s="5">
        <f>ROUND(tbl_financials[[#This Row],[Revenue]]*(0.12+MOD(ROW(),7)/100),2)</f>
        <v>2899.29</v>
      </c>
      <c r="S169" s="7">
        <f t="shared" si="2"/>
        <v>6239</v>
      </c>
      <c r="T169" s="5">
        <f>tbl_financials[[#This Row],[Gross_Profit]]-tbl_financials[[#This Row],[Operating_Expenses]]+tbl_financials[[#This Row],[Other_Income]]</f>
        <v>19893.95</v>
      </c>
      <c r="U169" s="11">
        <f>IF(tbl_financials[[#This Row],[Revenue]]=0,0,tbl_financials[[#This Row],[Net_Profit]]/tbl_financials[[#This Row],[Revenue]])</f>
        <v>0.89201577958088507</v>
      </c>
      <c r="V169" s="11" t="str">
        <f>tbl_financials[[#This Row],[Month_Name]] &amp; "_" &amp; tbl_financials[[#This Row],[Year]]</f>
        <v>April_2014</v>
      </c>
      <c r="W169" s="11" t="str">
        <f>tbl_financials[[#This Row],[Month_Name]] &amp; "_" &amp; (tbl_financials[[#This Row],[Year]]-1)</f>
        <v>April_2013</v>
      </c>
      <c r="X16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70" spans="1:24" x14ac:dyDescent="0.3">
      <c r="A170" t="s">
        <v>6</v>
      </c>
      <c r="B170" t="s">
        <v>16</v>
      </c>
      <c r="C170" t="s">
        <v>36</v>
      </c>
      <c r="D170" t="s">
        <v>39</v>
      </c>
      <c r="E170" s="9">
        <v>1570</v>
      </c>
      <c r="F170" s="7">
        <v>250</v>
      </c>
      <c r="G170" s="7">
        <v>125</v>
      </c>
      <c r="H170" s="7">
        <v>196250</v>
      </c>
      <c r="I170" s="5">
        <v>5887.5</v>
      </c>
      <c r="J170" s="5">
        <v>190362.5</v>
      </c>
      <c r="K170" s="7">
        <v>188400</v>
      </c>
      <c r="L170" s="5">
        <v>1962.5</v>
      </c>
      <c r="M170" s="1">
        <v>41791</v>
      </c>
      <c r="N170">
        <v>6</v>
      </c>
      <c r="O170" t="s">
        <v>23</v>
      </c>
      <c r="P170" t="s">
        <v>12</v>
      </c>
      <c r="Q170" s="5">
        <f>tbl_financials[[#This Row],[Net_Sales]]</f>
        <v>190362.5</v>
      </c>
      <c r="R170" s="5">
        <f>ROUND(tbl_financials[[#This Row],[Revenue]]*(0.12+MOD(ROW(),7)/100),2)</f>
        <v>26650.75</v>
      </c>
      <c r="S170" s="7">
        <f t="shared" si="2"/>
        <v>6270</v>
      </c>
      <c r="T170" s="5">
        <f>tbl_financials[[#This Row],[Gross_Profit]]-tbl_financials[[#This Row],[Operating_Expenses]]+tbl_financials[[#This Row],[Other_Income]]</f>
        <v>-18418.25</v>
      </c>
      <c r="U170" s="11">
        <f>IF(tbl_financials[[#This Row],[Revenue]]=0,0,tbl_financials[[#This Row],[Net_Profit]]/tbl_financials[[#This Row],[Revenue]])</f>
        <v>-9.6753562282487354E-2</v>
      </c>
      <c r="V170" s="11" t="str">
        <f>tbl_financials[[#This Row],[Month_Name]] &amp; "_" &amp; tbl_financials[[#This Row],[Year]]</f>
        <v>June_2014</v>
      </c>
      <c r="W170" s="11" t="str">
        <f>tbl_financials[[#This Row],[Month_Name]] &amp; "_" &amp; (tbl_financials[[#This Row],[Year]]-1)</f>
        <v>June_2013</v>
      </c>
      <c r="X17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71" spans="1:24" x14ac:dyDescent="0.3">
      <c r="A171" t="s">
        <v>4</v>
      </c>
      <c r="B171" t="s">
        <v>13</v>
      </c>
      <c r="C171" t="s">
        <v>36</v>
      </c>
      <c r="D171" t="s">
        <v>39</v>
      </c>
      <c r="E171" s="9">
        <v>1874</v>
      </c>
      <c r="F171" s="7">
        <v>250</v>
      </c>
      <c r="G171" s="7">
        <v>300</v>
      </c>
      <c r="H171" s="7">
        <v>562200</v>
      </c>
      <c r="I171" s="5">
        <v>16866</v>
      </c>
      <c r="J171" s="5">
        <v>545334</v>
      </c>
      <c r="K171" s="7">
        <v>468500</v>
      </c>
      <c r="L171" s="5">
        <v>76834</v>
      </c>
      <c r="M171" s="1">
        <v>41852</v>
      </c>
      <c r="N171">
        <v>8</v>
      </c>
      <c r="O171" t="s">
        <v>25</v>
      </c>
      <c r="P171" t="s">
        <v>12</v>
      </c>
      <c r="Q171" s="5">
        <f>tbl_financials[[#This Row],[Net_Sales]]</f>
        <v>545334</v>
      </c>
      <c r="R171" s="5">
        <f>ROUND(tbl_financials[[#This Row],[Revenue]]*(0.12+MOD(ROW(),7)/100),2)</f>
        <v>81800.100000000006</v>
      </c>
      <c r="S171" s="7">
        <f t="shared" si="2"/>
        <v>6301</v>
      </c>
      <c r="T171" s="5">
        <f>tbl_financials[[#This Row],[Gross_Profit]]-tbl_financials[[#This Row],[Operating_Expenses]]+tbl_financials[[#This Row],[Other_Income]]</f>
        <v>1334.8999999999942</v>
      </c>
      <c r="U171" s="11">
        <f>IF(tbl_financials[[#This Row],[Revenue]]=0,0,tbl_financials[[#This Row],[Net_Profit]]/tbl_financials[[#This Row],[Revenue]])</f>
        <v>2.4478576432058045E-3</v>
      </c>
      <c r="V171" s="11" t="str">
        <f>tbl_financials[[#This Row],[Month_Name]] &amp; "_" &amp; tbl_financials[[#This Row],[Year]]</f>
        <v>August_2014</v>
      </c>
      <c r="W171" s="11" t="str">
        <f>tbl_financials[[#This Row],[Month_Name]] &amp; "_" &amp; (tbl_financials[[#This Row],[Year]]-1)</f>
        <v>August_2013</v>
      </c>
      <c r="X17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72" spans="1:24" x14ac:dyDescent="0.3">
      <c r="A172" t="s">
        <v>7</v>
      </c>
      <c r="B172" t="s">
        <v>17</v>
      </c>
      <c r="C172" t="s">
        <v>36</v>
      </c>
      <c r="D172" t="s">
        <v>39</v>
      </c>
      <c r="E172" s="9">
        <v>1642</v>
      </c>
      <c r="F172" s="7">
        <v>250</v>
      </c>
      <c r="G172" s="7">
        <v>350</v>
      </c>
      <c r="H172" s="7">
        <v>574700</v>
      </c>
      <c r="I172" s="5">
        <v>17241</v>
      </c>
      <c r="J172" s="5">
        <v>557459</v>
      </c>
      <c r="K172" s="7">
        <v>426920</v>
      </c>
      <c r="L172" s="5">
        <v>130539</v>
      </c>
      <c r="M172" s="1">
        <v>41852</v>
      </c>
      <c r="N172">
        <v>8</v>
      </c>
      <c r="O172" t="s">
        <v>25</v>
      </c>
      <c r="P172" t="s">
        <v>12</v>
      </c>
      <c r="Q172" s="5">
        <f>tbl_financials[[#This Row],[Net_Sales]]</f>
        <v>557459</v>
      </c>
      <c r="R172" s="5">
        <f>ROUND(tbl_financials[[#This Row],[Revenue]]*(0.12+MOD(ROW(),7)/100),2)</f>
        <v>89193.44</v>
      </c>
      <c r="S172" s="7">
        <f t="shared" si="2"/>
        <v>6332</v>
      </c>
      <c r="T172" s="5">
        <f>tbl_financials[[#This Row],[Gross_Profit]]-tbl_financials[[#This Row],[Operating_Expenses]]+tbl_financials[[#This Row],[Other_Income]]</f>
        <v>47677.56</v>
      </c>
      <c r="U172" s="11">
        <f>IF(tbl_financials[[#This Row],[Revenue]]=0,0,tbl_financials[[#This Row],[Net_Profit]]/tbl_financials[[#This Row],[Revenue]])</f>
        <v>8.5526576842422486E-2</v>
      </c>
      <c r="V172" s="11" t="str">
        <f>tbl_financials[[#This Row],[Month_Name]] &amp; "_" &amp; tbl_financials[[#This Row],[Year]]</f>
        <v>August_2014</v>
      </c>
      <c r="W172" s="11" t="str">
        <f>tbl_financials[[#This Row],[Month_Name]] &amp; "_" &amp; (tbl_financials[[#This Row],[Year]]-1)</f>
        <v>August_2013</v>
      </c>
      <c r="X17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73" spans="1:24" x14ac:dyDescent="0.3">
      <c r="A173" t="s">
        <v>5</v>
      </c>
      <c r="B173" t="s">
        <v>16</v>
      </c>
      <c r="C173" t="s">
        <v>36</v>
      </c>
      <c r="D173" t="s">
        <v>39</v>
      </c>
      <c r="E173" s="9">
        <v>1945</v>
      </c>
      <c r="F173" s="7">
        <v>250</v>
      </c>
      <c r="G173" s="7">
        <v>15</v>
      </c>
      <c r="H173" s="7">
        <v>29175</v>
      </c>
      <c r="I173" s="5">
        <v>875.25</v>
      </c>
      <c r="J173" s="5">
        <v>28299.75</v>
      </c>
      <c r="K173" s="7">
        <v>19450</v>
      </c>
      <c r="L173" s="5">
        <v>8849.75</v>
      </c>
      <c r="M173" s="1">
        <v>41548</v>
      </c>
      <c r="N173">
        <v>10</v>
      </c>
      <c r="O173" t="s">
        <v>27</v>
      </c>
      <c r="P173" t="s">
        <v>11</v>
      </c>
      <c r="Q173" s="5">
        <f>tbl_financials[[#This Row],[Net_Sales]]</f>
        <v>28299.75</v>
      </c>
      <c r="R173" s="5">
        <f>ROUND(tbl_financials[[#This Row],[Revenue]]*(0.12+MOD(ROW(),7)/100),2)</f>
        <v>4810.96</v>
      </c>
      <c r="S173" s="7">
        <f t="shared" si="2"/>
        <v>6363</v>
      </c>
      <c r="T173" s="5">
        <f>tbl_financials[[#This Row],[Gross_Profit]]-tbl_financials[[#This Row],[Operating_Expenses]]+tbl_financials[[#This Row],[Other_Income]]</f>
        <v>10401.790000000001</v>
      </c>
      <c r="U173" s="11">
        <f>IF(tbl_financials[[#This Row],[Revenue]]=0,0,tbl_financials[[#This Row],[Net_Profit]]/tbl_financials[[#This Row],[Revenue]])</f>
        <v>0.3675576639369606</v>
      </c>
      <c r="V173" s="11" t="str">
        <f>tbl_financials[[#This Row],[Month_Name]] &amp; "_" &amp; tbl_financials[[#This Row],[Year]]</f>
        <v>October_2013</v>
      </c>
      <c r="W173" s="11" t="str">
        <f>tbl_financials[[#This Row],[Month_Name]] &amp; "_" &amp; (tbl_financials[[#This Row],[Year]]-1)</f>
        <v>October_2012</v>
      </c>
      <c r="X17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74" spans="1:24" x14ac:dyDescent="0.3">
      <c r="A174" t="s">
        <v>7</v>
      </c>
      <c r="B174" t="s">
        <v>13</v>
      </c>
      <c r="C174" t="s">
        <v>32</v>
      </c>
      <c r="D174" t="s">
        <v>39</v>
      </c>
      <c r="E174" s="9">
        <v>831</v>
      </c>
      <c r="F174" s="7">
        <v>3</v>
      </c>
      <c r="G174" s="7">
        <v>20</v>
      </c>
      <c r="H174" s="7">
        <v>16620</v>
      </c>
      <c r="I174" s="5">
        <v>498.6</v>
      </c>
      <c r="J174" s="5">
        <v>16121.4</v>
      </c>
      <c r="K174" s="7">
        <v>8310</v>
      </c>
      <c r="L174" s="5">
        <v>7811.4</v>
      </c>
      <c r="M174" s="1">
        <v>41760</v>
      </c>
      <c r="N174">
        <v>5</v>
      </c>
      <c r="O174" t="s">
        <v>22</v>
      </c>
      <c r="P174" t="s">
        <v>12</v>
      </c>
      <c r="Q174" s="5">
        <f>tbl_financials[[#This Row],[Net_Sales]]</f>
        <v>16121.4</v>
      </c>
      <c r="R174" s="5">
        <f>ROUND(tbl_financials[[#This Row],[Revenue]]*(0.12+MOD(ROW(),7)/100),2)</f>
        <v>2901.85</v>
      </c>
      <c r="S174" s="7">
        <f t="shared" si="2"/>
        <v>6394</v>
      </c>
      <c r="T174" s="5">
        <f>tbl_financials[[#This Row],[Gross_Profit]]-tbl_financials[[#This Row],[Operating_Expenses]]+tbl_financials[[#This Row],[Other_Income]]</f>
        <v>11303.55</v>
      </c>
      <c r="U174" s="11">
        <f>IF(tbl_financials[[#This Row],[Revenue]]=0,0,tbl_financials[[#This Row],[Net_Profit]]/tbl_financials[[#This Row],[Revenue]])</f>
        <v>0.70115188507201609</v>
      </c>
      <c r="V174" s="11" t="str">
        <f>tbl_financials[[#This Row],[Month_Name]] &amp; "_" &amp; tbl_financials[[#This Row],[Year]]</f>
        <v>May_2014</v>
      </c>
      <c r="W174" s="11" t="str">
        <f>tbl_financials[[#This Row],[Month_Name]] &amp; "_" &amp; (tbl_financials[[#This Row],[Year]]-1)</f>
        <v>May_2013</v>
      </c>
      <c r="X17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75" spans="1:24" x14ac:dyDescent="0.3">
      <c r="A175" t="s">
        <v>7</v>
      </c>
      <c r="B175" t="s">
        <v>17</v>
      </c>
      <c r="C175" t="s">
        <v>34</v>
      </c>
      <c r="D175" t="s">
        <v>39</v>
      </c>
      <c r="E175" s="9">
        <v>1760</v>
      </c>
      <c r="F175" s="7">
        <v>10</v>
      </c>
      <c r="G175" s="7">
        <v>7</v>
      </c>
      <c r="H175" s="7">
        <v>12320</v>
      </c>
      <c r="I175" s="5">
        <v>369.6</v>
      </c>
      <c r="J175" s="5">
        <v>11950.4</v>
      </c>
      <c r="K175" s="7">
        <v>8800</v>
      </c>
      <c r="L175" s="5">
        <v>3150.3999999999901</v>
      </c>
      <c r="M175" s="1">
        <v>41518</v>
      </c>
      <c r="N175">
        <v>9</v>
      </c>
      <c r="O175" t="s">
        <v>26</v>
      </c>
      <c r="P175" t="s">
        <v>11</v>
      </c>
      <c r="Q175" s="5">
        <f>tbl_financials[[#This Row],[Net_Sales]]</f>
        <v>11950.4</v>
      </c>
      <c r="R175" s="5">
        <f>ROUND(tbl_financials[[#This Row],[Revenue]]*(0.12+MOD(ROW(),7)/100),2)</f>
        <v>1434.05</v>
      </c>
      <c r="S175" s="7">
        <f t="shared" si="2"/>
        <v>6425</v>
      </c>
      <c r="T175" s="5">
        <f>tbl_financials[[#This Row],[Gross_Profit]]-tbl_financials[[#This Row],[Operating_Expenses]]+tbl_financials[[#This Row],[Other_Income]]</f>
        <v>8141.3499999999904</v>
      </c>
      <c r="U175" s="11">
        <f>IF(tbl_financials[[#This Row],[Revenue]]=0,0,tbl_financials[[#This Row],[Net_Profit]]/tbl_financials[[#This Row],[Revenue]])</f>
        <v>0.68126171508903388</v>
      </c>
      <c r="V175" s="11" t="str">
        <f>tbl_financials[[#This Row],[Month_Name]] &amp; "_" &amp; tbl_financials[[#This Row],[Year]]</f>
        <v>September_2013</v>
      </c>
      <c r="W175" s="11" t="str">
        <f>tbl_financials[[#This Row],[Month_Name]] &amp; "_" &amp; (tbl_financials[[#This Row],[Year]]-1)</f>
        <v>September_2012</v>
      </c>
      <c r="X17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76" spans="1:24" x14ac:dyDescent="0.3">
      <c r="A176" t="s">
        <v>7</v>
      </c>
      <c r="B176" t="s">
        <v>13</v>
      </c>
      <c r="C176" t="s">
        <v>35</v>
      </c>
      <c r="D176" t="s">
        <v>39</v>
      </c>
      <c r="E176" s="9">
        <v>3850.5</v>
      </c>
      <c r="F176" s="7">
        <v>120</v>
      </c>
      <c r="G176" s="7">
        <v>20</v>
      </c>
      <c r="H176" s="7">
        <v>77010</v>
      </c>
      <c r="I176" s="5">
        <v>2310.3000000000002</v>
      </c>
      <c r="J176" s="5">
        <v>74699.7</v>
      </c>
      <c r="K176" s="7">
        <v>38505</v>
      </c>
      <c r="L176" s="5">
        <v>36194.699999999997</v>
      </c>
      <c r="M176" s="1">
        <v>41730</v>
      </c>
      <c r="N176">
        <v>4</v>
      </c>
      <c r="O176" t="s">
        <v>21</v>
      </c>
      <c r="P176" t="s">
        <v>12</v>
      </c>
      <c r="Q176" s="5">
        <f>tbl_financials[[#This Row],[Net_Sales]]</f>
        <v>74699.7</v>
      </c>
      <c r="R176" s="5">
        <f>ROUND(tbl_financials[[#This Row],[Revenue]]*(0.12+MOD(ROW(),7)/100),2)</f>
        <v>9710.9599999999991</v>
      </c>
      <c r="S176" s="7">
        <f t="shared" si="2"/>
        <v>6456</v>
      </c>
      <c r="T176" s="5">
        <f>tbl_financials[[#This Row],[Gross_Profit]]-tbl_financials[[#This Row],[Operating_Expenses]]+tbl_financials[[#This Row],[Other_Income]]</f>
        <v>32939.74</v>
      </c>
      <c r="U176" s="11">
        <f>IF(tbl_financials[[#This Row],[Revenue]]=0,0,tbl_financials[[#This Row],[Net_Profit]]/tbl_financials[[#This Row],[Revenue]])</f>
        <v>0.44096214576497628</v>
      </c>
      <c r="V176" s="11" t="str">
        <f>tbl_financials[[#This Row],[Month_Name]] &amp; "_" &amp; tbl_financials[[#This Row],[Year]]</f>
        <v>April_2014</v>
      </c>
      <c r="W176" s="11" t="str">
        <f>tbl_financials[[#This Row],[Month_Name]] &amp; "_" &amp; (tbl_financials[[#This Row],[Year]]-1)</f>
        <v>April_2013</v>
      </c>
      <c r="X17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77" spans="1:24" x14ac:dyDescent="0.3">
      <c r="A177" t="s">
        <v>8</v>
      </c>
      <c r="B177" t="s">
        <v>16</v>
      </c>
      <c r="C177" t="s">
        <v>36</v>
      </c>
      <c r="D177" t="s">
        <v>39</v>
      </c>
      <c r="E177" s="9">
        <v>2479</v>
      </c>
      <c r="F177" s="7">
        <v>250</v>
      </c>
      <c r="G177" s="7">
        <v>12</v>
      </c>
      <c r="H177" s="7">
        <v>29748</v>
      </c>
      <c r="I177" s="5">
        <v>892.44</v>
      </c>
      <c r="J177" s="5">
        <v>28855.56</v>
      </c>
      <c r="K177" s="7">
        <v>7437</v>
      </c>
      <c r="L177" s="5">
        <v>21418.560000000001</v>
      </c>
      <c r="M177" s="1">
        <v>41640</v>
      </c>
      <c r="N177">
        <v>1</v>
      </c>
      <c r="O177" t="s">
        <v>18</v>
      </c>
      <c r="P177" t="s">
        <v>12</v>
      </c>
      <c r="Q177" s="5">
        <f>tbl_financials[[#This Row],[Net_Sales]]</f>
        <v>28855.56</v>
      </c>
      <c r="R177" s="5">
        <f>ROUND(tbl_financials[[#This Row],[Revenue]]*(0.12+MOD(ROW(),7)/100),2)</f>
        <v>4039.78</v>
      </c>
      <c r="S177" s="7">
        <f t="shared" si="2"/>
        <v>6487</v>
      </c>
      <c r="T177" s="5">
        <f>tbl_financials[[#This Row],[Gross_Profit]]-tbl_financials[[#This Row],[Operating_Expenses]]+tbl_financials[[#This Row],[Other_Income]]</f>
        <v>23865.780000000002</v>
      </c>
      <c r="U177" s="11">
        <f>IF(tbl_financials[[#This Row],[Revenue]]=0,0,tbl_financials[[#This Row],[Net_Profit]]/tbl_financials[[#This Row],[Revenue]])</f>
        <v>0.8270773466188146</v>
      </c>
      <c r="V177" s="11" t="str">
        <f>tbl_financials[[#This Row],[Month_Name]] &amp; "_" &amp; tbl_financials[[#This Row],[Year]]</f>
        <v>January_2014</v>
      </c>
      <c r="W177" s="11" t="str">
        <f>tbl_financials[[#This Row],[Month_Name]] &amp; "_" &amp; (tbl_financials[[#This Row],[Year]]-1)</f>
        <v>January_2013</v>
      </c>
      <c r="X17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78" spans="1:24" x14ac:dyDescent="0.3">
      <c r="A178" t="s">
        <v>5</v>
      </c>
      <c r="B178" t="s">
        <v>17</v>
      </c>
      <c r="C178" t="s">
        <v>33</v>
      </c>
      <c r="D178" t="s">
        <v>39</v>
      </c>
      <c r="E178" s="9">
        <v>2031</v>
      </c>
      <c r="F178" s="7">
        <v>5</v>
      </c>
      <c r="G178" s="7">
        <v>15</v>
      </c>
      <c r="H178" s="7">
        <v>30465</v>
      </c>
      <c r="I178" s="5">
        <v>1218.5999999999999</v>
      </c>
      <c r="J178" s="5">
        <v>29246.400000000001</v>
      </c>
      <c r="K178" s="7">
        <v>20310</v>
      </c>
      <c r="L178" s="5">
        <v>8936.4</v>
      </c>
      <c r="M178" s="1">
        <v>41913</v>
      </c>
      <c r="N178">
        <v>10</v>
      </c>
      <c r="O178" t="s">
        <v>27</v>
      </c>
      <c r="P178" t="s">
        <v>12</v>
      </c>
      <c r="Q178" s="5">
        <f>tbl_financials[[#This Row],[Net_Sales]]</f>
        <v>29246.400000000001</v>
      </c>
      <c r="R178" s="5">
        <f>ROUND(tbl_financials[[#This Row],[Revenue]]*(0.12+MOD(ROW(),7)/100),2)</f>
        <v>4386.96</v>
      </c>
      <c r="S178" s="7">
        <f t="shared" si="2"/>
        <v>6518</v>
      </c>
      <c r="T178" s="5">
        <f>tbl_financials[[#This Row],[Gross_Profit]]-tbl_financials[[#This Row],[Operating_Expenses]]+tbl_financials[[#This Row],[Other_Income]]</f>
        <v>11067.439999999999</v>
      </c>
      <c r="U178" s="11">
        <f>IF(tbl_financials[[#This Row],[Revenue]]=0,0,tbl_financials[[#This Row],[Net_Profit]]/tbl_financials[[#This Row],[Revenue]])</f>
        <v>0.37842059193610145</v>
      </c>
      <c r="V178" s="11" t="str">
        <f>tbl_financials[[#This Row],[Month_Name]] &amp; "_" &amp; tbl_financials[[#This Row],[Year]]</f>
        <v>October_2014</v>
      </c>
      <c r="W178" s="11" t="str">
        <f>tbl_financials[[#This Row],[Month_Name]] &amp; "_" &amp; (tbl_financials[[#This Row],[Year]]-1)</f>
        <v>October_2013</v>
      </c>
      <c r="X17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-0.32182260869565216</v>
      </c>
    </row>
    <row r="179" spans="1:24" x14ac:dyDescent="0.3">
      <c r="A179" t="s">
        <v>5</v>
      </c>
      <c r="B179" t="s">
        <v>17</v>
      </c>
      <c r="C179" t="s">
        <v>34</v>
      </c>
      <c r="D179" t="s">
        <v>39</v>
      </c>
      <c r="E179" s="9">
        <v>2031</v>
      </c>
      <c r="F179" s="7">
        <v>10</v>
      </c>
      <c r="G179" s="7">
        <v>15</v>
      </c>
      <c r="H179" s="7">
        <v>30465</v>
      </c>
      <c r="I179" s="5">
        <v>1218.5999999999999</v>
      </c>
      <c r="J179" s="5">
        <v>29246.400000000001</v>
      </c>
      <c r="K179" s="7">
        <v>20310</v>
      </c>
      <c r="L179" s="5">
        <v>8936.4</v>
      </c>
      <c r="M179" s="1">
        <v>41913</v>
      </c>
      <c r="N179">
        <v>10</v>
      </c>
      <c r="O179" t="s">
        <v>27</v>
      </c>
      <c r="P179" t="s">
        <v>12</v>
      </c>
      <c r="Q179" s="5">
        <f>tbl_financials[[#This Row],[Net_Sales]]</f>
        <v>29246.400000000001</v>
      </c>
      <c r="R179" s="5">
        <f>ROUND(tbl_financials[[#This Row],[Revenue]]*(0.12+MOD(ROW(),7)/100),2)</f>
        <v>4679.42</v>
      </c>
      <c r="S179" s="7">
        <f t="shared" si="2"/>
        <v>6549</v>
      </c>
      <c r="T179" s="5">
        <f>tbl_financials[[#This Row],[Gross_Profit]]-tbl_financials[[#This Row],[Operating_Expenses]]+tbl_financials[[#This Row],[Other_Income]]</f>
        <v>10805.98</v>
      </c>
      <c r="U179" s="11">
        <f>IF(tbl_financials[[#This Row],[Revenue]]=0,0,tbl_financials[[#This Row],[Net_Profit]]/tbl_financials[[#This Row],[Revenue]])</f>
        <v>0.3694806882214563</v>
      </c>
      <c r="V179" s="11" t="str">
        <f>tbl_financials[[#This Row],[Month_Name]] &amp; "_" &amp; tbl_financials[[#This Row],[Year]]</f>
        <v>October_2014</v>
      </c>
      <c r="W179" s="11" t="str">
        <f>tbl_financials[[#This Row],[Month_Name]] &amp; "_" &amp; (tbl_financials[[#This Row],[Year]]-1)</f>
        <v>October_2013</v>
      </c>
      <c r="X17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-0.32182260869565216</v>
      </c>
    </row>
    <row r="180" spans="1:24" x14ac:dyDescent="0.3">
      <c r="A180" t="s">
        <v>5</v>
      </c>
      <c r="B180" t="s">
        <v>15</v>
      </c>
      <c r="C180" t="s">
        <v>34</v>
      </c>
      <c r="D180" t="s">
        <v>39</v>
      </c>
      <c r="E180" s="9">
        <v>2261</v>
      </c>
      <c r="F180" s="7">
        <v>10</v>
      </c>
      <c r="G180" s="7">
        <v>15</v>
      </c>
      <c r="H180" s="7">
        <v>33915</v>
      </c>
      <c r="I180" s="5">
        <v>1356.6</v>
      </c>
      <c r="J180" s="5">
        <v>32558.400000000001</v>
      </c>
      <c r="K180" s="7">
        <v>22610</v>
      </c>
      <c r="L180" s="5">
        <v>9948.4</v>
      </c>
      <c r="M180" s="1">
        <v>41609</v>
      </c>
      <c r="N180">
        <v>12</v>
      </c>
      <c r="O180" t="s">
        <v>29</v>
      </c>
      <c r="P180" t="s">
        <v>11</v>
      </c>
      <c r="Q180" s="5">
        <f>tbl_financials[[#This Row],[Net_Sales]]</f>
        <v>32558.400000000001</v>
      </c>
      <c r="R180" s="5">
        <f>ROUND(tbl_financials[[#This Row],[Revenue]]*(0.12+MOD(ROW(),7)/100),2)</f>
        <v>5534.93</v>
      </c>
      <c r="S180" s="7">
        <f t="shared" si="2"/>
        <v>6580</v>
      </c>
      <c r="T180" s="5">
        <f>tbl_financials[[#This Row],[Gross_Profit]]-tbl_financials[[#This Row],[Operating_Expenses]]+tbl_financials[[#This Row],[Other_Income]]</f>
        <v>10993.47</v>
      </c>
      <c r="U180" s="11">
        <f>IF(tbl_financials[[#This Row],[Revenue]]=0,0,tbl_financials[[#This Row],[Net_Profit]]/tbl_financials[[#This Row],[Revenue]])</f>
        <v>0.3376538773404098</v>
      </c>
      <c r="V180" s="11" t="str">
        <f>tbl_financials[[#This Row],[Month_Name]] &amp; "_" &amp; tbl_financials[[#This Row],[Year]]</f>
        <v>December_2013</v>
      </c>
      <c r="W180" s="11" t="str">
        <f>tbl_financials[[#This Row],[Month_Name]] &amp; "_" &amp; (tbl_financials[[#This Row],[Year]]-1)</f>
        <v>December_2012</v>
      </c>
      <c r="X18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81" spans="1:24" x14ac:dyDescent="0.3">
      <c r="A181" t="s">
        <v>7</v>
      </c>
      <c r="B181" t="s">
        <v>14</v>
      </c>
      <c r="C181" t="s">
        <v>35</v>
      </c>
      <c r="D181" t="s">
        <v>39</v>
      </c>
      <c r="E181" s="9">
        <v>736</v>
      </c>
      <c r="F181" s="7">
        <v>120</v>
      </c>
      <c r="G181" s="7">
        <v>20</v>
      </c>
      <c r="H181" s="7">
        <v>14720</v>
      </c>
      <c r="I181" s="5">
        <v>588.79999999999995</v>
      </c>
      <c r="J181" s="5">
        <v>14131.2</v>
      </c>
      <c r="K181" s="7">
        <v>7360</v>
      </c>
      <c r="L181" s="5">
        <v>6771.2</v>
      </c>
      <c r="M181" s="1">
        <v>41518</v>
      </c>
      <c r="N181">
        <v>9</v>
      </c>
      <c r="O181" t="s">
        <v>26</v>
      </c>
      <c r="P181" t="s">
        <v>11</v>
      </c>
      <c r="Q181" s="5">
        <f>tbl_financials[[#This Row],[Net_Sales]]</f>
        <v>14131.2</v>
      </c>
      <c r="R181" s="5">
        <f>ROUND(tbl_financials[[#This Row],[Revenue]]*(0.12+MOD(ROW(),7)/100),2)</f>
        <v>2543.62</v>
      </c>
      <c r="S181" s="7">
        <f t="shared" si="2"/>
        <v>6611</v>
      </c>
      <c r="T181" s="5">
        <f>tbl_financials[[#This Row],[Gross_Profit]]-tbl_financials[[#This Row],[Operating_Expenses]]+tbl_financials[[#This Row],[Other_Income]]</f>
        <v>10838.58</v>
      </c>
      <c r="U181" s="11">
        <f>IF(tbl_financials[[#This Row],[Revenue]]=0,0,tbl_financials[[#This Row],[Net_Profit]]/tbl_financials[[#This Row],[Revenue]])</f>
        <v>0.76699643342391299</v>
      </c>
      <c r="V181" s="11" t="str">
        <f>tbl_financials[[#This Row],[Month_Name]] &amp; "_" &amp; tbl_financials[[#This Row],[Year]]</f>
        <v>September_2013</v>
      </c>
      <c r="W181" s="11" t="str">
        <f>tbl_financials[[#This Row],[Month_Name]] &amp; "_" &amp; (tbl_financials[[#This Row],[Year]]-1)</f>
        <v>September_2012</v>
      </c>
      <c r="X18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82" spans="1:24" x14ac:dyDescent="0.3">
      <c r="A182" t="s">
        <v>7</v>
      </c>
      <c r="B182" t="s">
        <v>13</v>
      </c>
      <c r="C182" t="s">
        <v>32</v>
      </c>
      <c r="D182" t="s">
        <v>39</v>
      </c>
      <c r="E182" s="9">
        <v>2851</v>
      </c>
      <c r="F182" s="7">
        <v>3</v>
      </c>
      <c r="G182" s="7">
        <v>7</v>
      </c>
      <c r="H182" s="7">
        <v>19957</v>
      </c>
      <c r="I182" s="5">
        <v>798.28</v>
      </c>
      <c r="J182" s="5">
        <v>19158.72</v>
      </c>
      <c r="K182" s="7">
        <v>14255</v>
      </c>
      <c r="L182" s="5">
        <v>4903.72</v>
      </c>
      <c r="M182" s="1">
        <v>41548</v>
      </c>
      <c r="N182">
        <v>10</v>
      </c>
      <c r="O182" t="s">
        <v>27</v>
      </c>
      <c r="P182" t="s">
        <v>11</v>
      </c>
      <c r="Q182" s="5">
        <f>tbl_financials[[#This Row],[Net_Sales]]</f>
        <v>19158.72</v>
      </c>
      <c r="R182" s="5">
        <f>ROUND(tbl_financials[[#This Row],[Revenue]]*(0.12+MOD(ROW(),7)/100),2)</f>
        <v>2299.0500000000002</v>
      </c>
      <c r="S182" s="7">
        <f t="shared" si="2"/>
        <v>6642</v>
      </c>
      <c r="T182" s="5">
        <f>tbl_financials[[#This Row],[Gross_Profit]]-tbl_financials[[#This Row],[Operating_Expenses]]+tbl_financials[[#This Row],[Other_Income]]</f>
        <v>9246.67</v>
      </c>
      <c r="U182" s="11">
        <f>IF(tbl_financials[[#This Row],[Revenue]]=0,0,tbl_financials[[#This Row],[Net_Profit]]/tbl_financials[[#This Row],[Revenue]])</f>
        <v>0.48263506121494543</v>
      </c>
      <c r="V182" s="11" t="str">
        <f>tbl_financials[[#This Row],[Month_Name]] &amp; "_" &amp; tbl_financials[[#This Row],[Year]]</f>
        <v>October_2013</v>
      </c>
      <c r="W182" s="11" t="str">
        <f>tbl_financials[[#This Row],[Month_Name]] &amp; "_" &amp; (tbl_financials[[#This Row],[Year]]-1)</f>
        <v>October_2012</v>
      </c>
      <c r="X18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83" spans="1:24" x14ac:dyDescent="0.3">
      <c r="A183" t="s">
        <v>4</v>
      </c>
      <c r="B183" t="s">
        <v>16</v>
      </c>
      <c r="C183" t="s">
        <v>32</v>
      </c>
      <c r="D183" t="s">
        <v>39</v>
      </c>
      <c r="E183" s="9">
        <v>2021</v>
      </c>
      <c r="F183" s="7">
        <v>3</v>
      </c>
      <c r="G183" s="7">
        <v>300</v>
      </c>
      <c r="H183" s="7">
        <v>606300</v>
      </c>
      <c r="I183" s="5">
        <v>24252</v>
      </c>
      <c r="J183" s="5">
        <v>582048</v>
      </c>
      <c r="K183" s="7">
        <v>505250</v>
      </c>
      <c r="L183" s="5">
        <v>76798</v>
      </c>
      <c r="M183" s="1">
        <v>41913</v>
      </c>
      <c r="N183">
        <v>10</v>
      </c>
      <c r="O183" t="s">
        <v>27</v>
      </c>
      <c r="P183" t="s">
        <v>12</v>
      </c>
      <c r="Q183" s="5">
        <f>tbl_financials[[#This Row],[Net_Sales]]</f>
        <v>582048</v>
      </c>
      <c r="R183" s="5">
        <f>ROUND(tbl_financials[[#This Row],[Revenue]]*(0.12+MOD(ROW(),7)/100),2)</f>
        <v>75666.240000000005</v>
      </c>
      <c r="S183" s="7">
        <f t="shared" si="2"/>
        <v>6673</v>
      </c>
      <c r="T183" s="5">
        <f>tbl_financials[[#This Row],[Gross_Profit]]-tbl_financials[[#This Row],[Operating_Expenses]]+tbl_financials[[#This Row],[Other_Income]]</f>
        <v>7804.7599999999948</v>
      </c>
      <c r="U183" s="11">
        <f>IF(tbl_financials[[#This Row],[Revenue]]=0,0,tbl_financials[[#This Row],[Net_Profit]]/tbl_financials[[#This Row],[Revenue]])</f>
        <v>1.3409134641816473E-2</v>
      </c>
      <c r="V183" s="11" t="str">
        <f>tbl_financials[[#This Row],[Month_Name]] &amp; "_" &amp; tbl_financials[[#This Row],[Year]]</f>
        <v>October_2014</v>
      </c>
      <c r="W183" s="11" t="str">
        <f>tbl_financials[[#This Row],[Month_Name]] &amp; "_" &amp; (tbl_financials[[#This Row],[Year]]-1)</f>
        <v>October_2013</v>
      </c>
      <c r="X18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12.496765217391305</v>
      </c>
    </row>
    <row r="184" spans="1:24" x14ac:dyDescent="0.3">
      <c r="A184" t="s">
        <v>7</v>
      </c>
      <c r="B184" t="s">
        <v>14</v>
      </c>
      <c r="C184" t="s">
        <v>32</v>
      </c>
      <c r="D184" t="s">
        <v>39</v>
      </c>
      <c r="E184" s="9">
        <v>274</v>
      </c>
      <c r="F184" s="7">
        <v>3</v>
      </c>
      <c r="G184" s="7">
        <v>350</v>
      </c>
      <c r="H184" s="7">
        <v>95900</v>
      </c>
      <c r="I184" s="5">
        <v>3836</v>
      </c>
      <c r="J184" s="5">
        <v>92064</v>
      </c>
      <c r="K184" s="7">
        <v>71240</v>
      </c>
      <c r="L184" s="5">
        <v>20824</v>
      </c>
      <c r="M184" s="1">
        <v>41974</v>
      </c>
      <c r="N184">
        <v>12</v>
      </c>
      <c r="O184" t="s">
        <v>29</v>
      </c>
      <c r="P184" t="s">
        <v>12</v>
      </c>
      <c r="Q184" s="5">
        <f>tbl_financials[[#This Row],[Net_Sales]]</f>
        <v>92064</v>
      </c>
      <c r="R184" s="5">
        <f>ROUND(tbl_financials[[#This Row],[Revenue]]*(0.12+MOD(ROW(),7)/100),2)</f>
        <v>12888.96</v>
      </c>
      <c r="S184" s="7">
        <f t="shared" si="2"/>
        <v>6704</v>
      </c>
      <c r="T184" s="5">
        <f>tbl_financials[[#This Row],[Gross_Profit]]-tbl_financials[[#This Row],[Operating_Expenses]]+tbl_financials[[#This Row],[Other_Income]]</f>
        <v>14639.04</v>
      </c>
      <c r="U184" s="11">
        <f>IF(tbl_financials[[#This Row],[Revenue]]=0,0,tbl_financials[[#This Row],[Net_Profit]]/tbl_financials[[#This Row],[Revenue]])</f>
        <v>0.15900938477580814</v>
      </c>
      <c r="V184" s="11" t="str">
        <f>tbl_financials[[#This Row],[Month_Name]] &amp; "_" &amp; tbl_financials[[#This Row],[Year]]</f>
        <v>December_2014</v>
      </c>
      <c r="W184" s="11" t="str">
        <f>tbl_financials[[#This Row],[Month_Name]] &amp; "_" &amp; (tbl_financials[[#This Row],[Year]]-1)</f>
        <v>December_2013</v>
      </c>
      <c r="X18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1.8520446096654275</v>
      </c>
    </row>
    <row r="185" spans="1:24" x14ac:dyDescent="0.3">
      <c r="A185" t="s">
        <v>5</v>
      </c>
      <c r="B185" t="s">
        <v>13</v>
      </c>
      <c r="C185" t="s">
        <v>33</v>
      </c>
      <c r="D185" t="s">
        <v>39</v>
      </c>
      <c r="E185" s="9">
        <v>1967</v>
      </c>
      <c r="F185" s="7">
        <v>5</v>
      </c>
      <c r="G185" s="7">
        <v>15</v>
      </c>
      <c r="H185" s="7">
        <v>29505</v>
      </c>
      <c r="I185" s="5">
        <v>1180.2</v>
      </c>
      <c r="J185" s="5">
        <v>28324.799999999999</v>
      </c>
      <c r="K185" s="7">
        <v>19670</v>
      </c>
      <c r="L185" s="5">
        <v>8654.7999999999993</v>
      </c>
      <c r="M185" s="1">
        <v>41699</v>
      </c>
      <c r="N185">
        <v>3</v>
      </c>
      <c r="O185" t="s">
        <v>20</v>
      </c>
      <c r="P185" t="s">
        <v>12</v>
      </c>
      <c r="Q185" s="5">
        <f>tbl_financials[[#This Row],[Net_Sales]]</f>
        <v>28324.799999999999</v>
      </c>
      <c r="R185" s="5">
        <f>ROUND(tbl_financials[[#This Row],[Revenue]]*(0.12+MOD(ROW(),7)/100),2)</f>
        <v>4248.72</v>
      </c>
      <c r="S185" s="7">
        <f t="shared" si="2"/>
        <v>6735</v>
      </c>
      <c r="T185" s="5">
        <f>tbl_financials[[#This Row],[Gross_Profit]]-tbl_financials[[#This Row],[Operating_Expenses]]+tbl_financials[[#This Row],[Other_Income]]</f>
        <v>11141.079999999998</v>
      </c>
      <c r="U185" s="11">
        <f>IF(tbl_financials[[#This Row],[Revenue]]=0,0,tbl_financials[[#This Row],[Net_Profit]]/tbl_financials[[#This Row],[Revenue]])</f>
        <v>0.39333305089532844</v>
      </c>
      <c r="V185" s="11" t="str">
        <f>tbl_financials[[#This Row],[Month_Name]] &amp; "_" &amp; tbl_financials[[#This Row],[Year]]</f>
        <v>March_2014</v>
      </c>
      <c r="W185" s="11" t="str">
        <f>tbl_financials[[#This Row],[Month_Name]] &amp; "_" &amp; (tbl_financials[[#This Row],[Year]]-1)</f>
        <v>March_2013</v>
      </c>
      <c r="X18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86" spans="1:24" x14ac:dyDescent="0.3">
      <c r="A186" t="s">
        <v>4</v>
      </c>
      <c r="B186" t="s">
        <v>16</v>
      </c>
      <c r="C186" t="s">
        <v>33</v>
      </c>
      <c r="D186" t="s">
        <v>39</v>
      </c>
      <c r="E186" s="9">
        <v>1859</v>
      </c>
      <c r="F186" s="7">
        <v>5</v>
      </c>
      <c r="G186" s="7">
        <v>300</v>
      </c>
      <c r="H186" s="7">
        <v>557700</v>
      </c>
      <c r="I186" s="5">
        <v>22308</v>
      </c>
      <c r="J186" s="5">
        <v>535392</v>
      </c>
      <c r="K186" s="7">
        <v>464750</v>
      </c>
      <c r="L186" s="5">
        <v>70642</v>
      </c>
      <c r="M186" s="1">
        <v>41852</v>
      </c>
      <c r="N186">
        <v>8</v>
      </c>
      <c r="O186" t="s">
        <v>25</v>
      </c>
      <c r="P186" t="s">
        <v>12</v>
      </c>
      <c r="Q186" s="5">
        <f>tbl_financials[[#This Row],[Net_Sales]]</f>
        <v>535392</v>
      </c>
      <c r="R186" s="5">
        <f>ROUND(tbl_financials[[#This Row],[Revenue]]*(0.12+MOD(ROW(),7)/100),2)</f>
        <v>85662.720000000001</v>
      </c>
      <c r="S186" s="7">
        <f t="shared" si="2"/>
        <v>6766</v>
      </c>
      <c r="T186" s="5">
        <f>tbl_financials[[#This Row],[Gross_Profit]]-tbl_financials[[#This Row],[Operating_Expenses]]+tbl_financials[[#This Row],[Other_Income]]</f>
        <v>-8254.7200000000012</v>
      </c>
      <c r="U186" s="11">
        <f>IF(tbl_financials[[#This Row],[Revenue]]=0,0,tbl_financials[[#This Row],[Net_Profit]]/tbl_financials[[#This Row],[Revenue]])</f>
        <v>-1.5418086187316958E-2</v>
      </c>
      <c r="V186" s="11" t="str">
        <f>tbl_financials[[#This Row],[Month_Name]] &amp; "_" &amp; tbl_financials[[#This Row],[Year]]</f>
        <v>August_2014</v>
      </c>
      <c r="W186" s="11" t="str">
        <f>tbl_financials[[#This Row],[Month_Name]] &amp; "_" &amp; (tbl_financials[[#This Row],[Year]]-1)</f>
        <v>August_2013</v>
      </c>
      <c r="X18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87" spans="1:24" x14ac:dyDescent="0.3">
      <c r="A187" t="s">
        <v>7</v>
      </c>
      <c r="B187" t="s">
        <v>13</v>
      </c>
      <c r="C187" t="s">
        <v>33</v>
      </c>
      <c r="D187" t="s">
        <v>39</v>
      </c>
      <c r="E187" s="9">
        <v>2851</v>
      </c>
      <c r="F187" s="7">
        <v>5</v>
      </c>
      <c r="G187" s="7">
        <v>7</v>
      </c>
      <c r="H187" s="7">
        <v>19957</v>
      </c>
      <c r="I187" s="5">
        <v>798.28</v>
      </c>
      <c r="J187" s="5">
        <v>19158.72</v>
      </c>
      <c r="K187" s="7">
        <v>14255</v>
      </c>
      <c r="L187" s="5">
        <v>4903.72</v>
      </c>
      <c r="M187" s="1">
        <v>41548</v>
      </c>
      <c r="N187">
        <v>10</v>
      </c>
      <c r="O187" t="s">
        <v>27</v>
      </c>
      <c r="P187" t="s">
        <v>11</v>
      </c>
      <c r="Q187" s="5">
        <f>tbl_financials[[#This Row],[Net_Sales]]</f>
        <v>19158.72</v>
      </c>
      <c r="R187" s="5">
        <f>ROUND(tbl_financials[[#This Row],[Revenue]]*(0.12+MOD(ROW(),7)/100),2)</f>
        <v>3256.98</v>
      </c>
      <c r="S187" s="7">
        <f t="shared" si="2"/>
        <v>6797</v>
      </c>
      <c r="T187" s="5">
        <f>tbl_financials[[#This Row],[Gross_Profit]]-tbl_financials[[#This Row],[Operating_Expenses]]+tbl_financials[[#This Row],[Other_Income]]</f>
        <v>8443.74</v>
      </c>
      <c r="U187" s="11">
        <f>IF(tbl_financials[[#This Row],[Revenue]]=0,0,tbl_financials[[#This Row],[Net_Profit]]/tbl_financials[[#This Row],[Revenue]])</f>
        <v>0.44072568522322991</v>
      </c>
      <c r="V187" s="11" t="str">
        <f>tbl_financials[[#This Row],[Month_Name]] &amp; "_" &amp; tbl_financials[[#This Row],[Year]]</f>
        <v>October_2013</v>
      </c>
      <c r="W187" s="11" t="str">
        <f>tbl_financials[[#This Row],[Month_Name]] &amp; "_" &amp; (tbl_financials[[#This Row],[Year]]-1)</f>
        <v>October_2012</v>
      </c>
      <c r="X18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88" spans="1:24" x14ac:dyDescent="0.3">
      <c r="A188" t="s">
        <v>4</v>
      </c>
      <c r="B188" t="s">
        <v>16</v>
      </c>
      <c r="C188" t="s">
        <v>33</v>
      </c>
      <c r="D188" t="s">
        <v>39</v>
      </c>
      <c r="E188" s="9">
        <v>2021</v>
      </c>
      <c r="F188" s="7">
        <v>5</v>
      </c>
      <c r="G188" s="7">
        <v>300</v>
      </c>
      <c r="H188" s="7">
        <v>606300</v>
      </c>
      <c r="I188" s="5">
        <v>24252</v>
      </c>
      <c r="J188" s="5">
        <v>582048</v>
      </c>
      <c r="K188" s="7">
        <v>505250</v>
      </c>
      <c r="L188" s="5">
        <v>76798</v>
      </c>
      <c r="M188" s="1">
        <v>41913</v>
      </c>
      <c r="N188">
        <v>10</v>
      </c>
      <c r="O188" t="s">
        <v>27</v>
      </c>
      <c r="P188" t="s">
        <v>12</v>
      </c>
      <c r="Q188" s="5">
        <f>tbl_financials[[#This Row],[Net_Sales]]</f>
        <v>582048</v>
      </c>
      <c r="R188" s="5">
        <f>ROUND(tbl_financials[[#This Row],[Revenue]]*(0.12+MOD(ROW(),7)/100),2)</f>
        <v>104768.64</v>
      </c>
      <c r="S188" s="7">
        <f t="shared" si="2"/>
        <v>6828</v>
      </c>
      <c r="T188" s="5">
        <f>tbl_financials[[#This Row],[Gross_Profit]]-tbl_financials[[#This Row],[Operating_Expenses]]+tbl_financials[[#This Row],[Other_Income]]</f>
        <v>-21142.639999999999</v>
      </c>
      <c r="U188" s="11">
        <f>IF(tbl_financials[[#This Row],[Revenue]]=0,0,tbl_financials[[#This Row],[Net_Profit]]/tbl_financials[[#This Row],[Revenue]])</f>
        <v>-3.6324564297102645E-2</v>
      </c>
      <c r="V188" s="11" t="str">
        <f>tbl_financials[[#This Row],[Month_Name]] &amp; "_" &amp; tbl_financials[[#This Row],[Year]]</f>
        <v>October_2014</v>
      </c>
      <c r="W188" s="11" t="str">
        <f>tbl_financials[[#This Row],[Month_Name]] &amp; "_" &amp; (tbl_financials[[#This Row],[Year]]-1)</f>
        <v>October_2013</v>
      </c>
      <c r="X18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12.496765217391305</v>
      </c>
    </row>
    <row r="189" spans="1:24" x14ac:dyDescent="0.3">
      <c r="A189" t="s">
        <v>6</v>
      </c>
      <c r="B189" t="s">
        <v>17</v>
      </c>
      <c r="C189" t="s">
        <v>33</v>
      </c>
      <c r="D189" t="s">
        <v>39</v>
      </c>
      <c r="E189" s="9">
        <v>1138</v>
      </c>
      <c r="F189" s="7">
        <v>5</v>
      </c>
      <c r="G189" s="7">
        <v>125</v>
      </c>
      <c r="H189" s="7">
        <v>142250</v>
      </c>
      <c r="I189" s="5">
        <v>5690</v>
      </c>
      <c r="J189" s="5">
        <v>136560</v>
      </c>
      <c r="K189" s="7">
        <v>136560</v>
      </c>
      <c r="L189" s="5">
        <v>0</v>
      </c>
      <c r="M189" s="1">
        <v>41974</v>
      </c>
      <c r="N189">
        <v>12</v>
      </c>
      <c r="O189" t="s">
        <v>29</v>
      </c>
      <c r="P189" t="s">
        <v>12</v>
      </c>
      <c r="Q189" s="5">
        <f>tbl_financials[[#This Row],[Net_Sales]]</f>
        <v>136560</v>
      </c>
      <c r="R189" s="5">
        <f>ROUND(tbl_financials[[#This Row],[Revenue]]*(0.12+MOD(ROW(),7)/100),2)</f>
        <v>16387.2</v>
      </c>
      <c r="S189" s="7">
        <f t="shared" si="2"/>
        <v>6859</v>
      </c>
      <c r="T189" s="5">
        <f>tbl_financials[[#This Row],[Gross_Profit]]-tbl_financials[[#This Row],[Operating_Expenses]]+tbl_financials[[#This Row],[Other_Income]]</f>
        <v>-9528.2000000000007</v>
      </c>
      <c r="U189" s="11">
        <f>IF(tbl_financials[[#This Row],[Revenue]]=0,0,tbl_financials[[#This Row],[Net_Profit]]/tbl_financials[[#This Row],[Revenue]])</f>
        <v>-6.9772993555946114E-2</v>
      </c>
      <c r="V189" s="11" t="str">
        <f>tbl_financials[[#This Row],[Month_Name]] &amp; "_" &amp; tbl_financials[[#This Row],[Year]]</f>
        <v>December_2014</v>
      </c>
      <c r="W189" s="11" t="str">
        <f>tbl_financials[[#This Row],[Month_Name]] &amp; "_" &amp; (tbl_financials[[#This Row],[Year]]-1)</f>
        <v>December_2013</v>
      </c>
      <c r="X18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3.2304832713754648</v>
      </c>
    </row>
    <row r="190" spans="1:24" x14ac:dyDescent="0.3">
      <c r="A190" t="s">
        <v>7</v>
      </c>
      <c r="B190" t="s">
        <v>13</v>
      </c>
      <c r="C190" t="s">
        <v>34</v>
      </c>
      <c r="D190" t="s">
        <v>39</v>
      </c>
      <c r="E190" s="9">
        <v>4251</v>
      </c>
      <c r="F190" s="7">
        <v>10</v>
      </c>
      <c r="G190" s="7">
        <v>7</v>
      </c>
      <c r="H190" s="7">
        <v>29757</v>
      </c>
      <c r="I190" s="5">
        <v>1190.28</v>
      </c>
      <c r="J190" s="5">
        <v>28566.720000000001</v>
      </c>
      <c r="K190" s="7">
        <v>21255</v>
      </c>
      <c r="L190" s="5">
        <v>7311.7199999999903</v>
      </c>
      <c r="M190" s="1">
        <v>41640</v>
      </c>
      <c r="N190">
        <v>1</v>
      </c>
      <c r="O190" t="s">
        <v>18</v>
      </c>
      <c r="P190" t="s">
        <v>12</v>
      </c>
      <c r="Q190" s="5">
        <f>tbl_financials[[#This Row],[Net_Sales]]</f>
        <v>28566.720000000001</v>
      </c>
      <c r="R190" s="5">
        <f>ROUND(tbl_financials[[#This Row],[Revenue]]*(0.12+MOD(ROW(),7)/100),2)</f>
        <v>3713.67</v>
      </c>
      <c r="S190" s="7">
        <f t="shared" si="2"/>
        <v>6890</v>
      </c>
      <c r="T190" s="5">
        <f>tbl_financials[[#This Row],[Gross_Profit]]-tbl_financials[[#This Row],[Operating_Expenses]]+tbl_financials[[#This Row],[Other_Income]]</f>
        <v>10488.04999999999</v>
      </c>
      <c r="U190" s="11">
        <f>IF(tbl_financials[[#This Row],[Revenue]]=0,0,tbl_financials[[#This Row],[Net_Profit]]/tbl_financials[[#This Row],[Revenue]])</f>
        <v>0.36714225504363085</v>
      </c>
      <c r="V190" s="11" t="str">
        <f>tbl_financials[[#This Row],[Month_Name]] &amp; "_" &amp; tbl_financials[[#This Row],[Year]]</f>
        <v>January_2014</v>
      </c>
      <c r="W190" s="11" t="str">
        <f>tbl_financials[[#This Row],[Month_Name]] &amp; "_" &amp; (tbl_financials[[#This Row],[Year]]-1)</f>
        <v>January_2013</v>
      </c>
      <c r="X19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91" spans="1:24" x14ac:dyDescent="0.3">
      <c r="A191" t="s">
        <v>6</v>
      </c>
      <c r="B191" t="s">
        <v>16</v>
      </c>
      <c r="C191" t="s">
        <v>34</v>
      </c>
      <c r="D191" t="s">
        <v>39</v>
      </c>
      <c r="E191" s="9">
        <v>795</v>
      </c>
      <c r="F191" s="7">
        <v>10</v>
      </c>
      <c r="G191" s="7">
        <v>125</v>
      </c>
      <c r="H191" s="7">
        <v>99375</v>
      </c>
      <c r="I191" s="5">
        <v>3975</v>
      </c>
      <c r="J191" s="5">
        <v>95400</v>
      </c>
      <c r="K191" s="7">
        <v>95400</v>
      </c>
      <c r="L191" s="5">
        <v>0</v>
      </c>
      <c r="M191" s="1">
        <v>41699</v>
      </c>
      <c r="N191">
        <v>3</v>
      </c>
      <c r="O191" t="s">
        <v>20</v>
      </c>
      <c r="P191" t="s">
        <v>12</v>
      </c>
      <c r="Q191" s="5">
        <f>tbl_financials[[#This Row],[Net_Sales]]</f>
        <v>95400</v>
      </c>
      <c r="R191" s="5">
        <f>ROUND(tbl_financials[[#This Row],[Revenue]]*(0.12+MOD(ROW(),7)/100),2)</f>
        <v>13356</v>
      </c>
      <c r="S191" s="7">
        <f t="shared" si="2"/>
        <v>6921</v>
      </c>
      <c r="T191" s="5">
        <f>tbl_financials[[#This Row],[Gross_Profit]]-tbl_financials[[#This Row],[Operating_Expenses]]+tbl_financials[[#This Row],[Other_Income]]</f>
        <v>-6435</v>
      </c>
      <c r="U191" s="11">
        <f>IF(tbl_financials[[#This Row],[Revenue]]=0,0,tbl_financials[[#This Row],[Net_Profit]]/tbl_financials[[#This Row],[Revenue]])</f>
        <v>-6.7452830188679244E-2</v>
      </c>
      <c r="V191" s="11" t="str">
        <f>tbl_financials[[#This Row],[Month_Name]] &amp; "_" &amp; tbl_financials[[#This Row],[Year]]</f>
        <v>March_2014</v>
      </c>
      <c r="W191" s="11" t="str">
        <f>tbl_financials[[#This Row],[Month_Name]] &amp; "_" &amp; (tbl_financials[[#This Row],[Year]]-1)</f>
        <v>March_2013</v>
      </c>
      <c r="X19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92" spans="1:24" x14ac:dyDescent="0.3">
      <c r="A192" t="s">
        <v>4</v>
      </c>
      <c r="B192" t="s">
        <v>16</v>
      </c>
      <c r="C192" t="s">
        <v>34</v>
      </c>
      <c r="D192" t="s">
        <v>39</v>
      </c>
      <c r="E192" s="9">
        <v>1414.5</v>
      </c>
      <c r="F192" s="7">
        <v>10</v>
      </c>
      <c r="G192" s="7">
        <v>300</v>
      </c>
      <c r="H192" s="7">
        <v>424350</v>
      </c>
      <c r="I192" s="5">
        <v>16974</v>
      </c>
      <c r="J192" s="5">
        <v>407376</v>
      </c>
      <c r="K192" s="7">
        <v>353625</v>
      </c>
      <c r="L192" s="5">
        <v>53751</v>
      </c>
      <c r="M192" s="1">
        <v>41730</v>
      </c>
      <c r="N192">
        <v>4</v>
      </c>
      <c r="O192" t="s">
        <v>21</v>
      </c>
      <c r="P192" t="s">
        <v>12</v>
      </c>
      <c r="Q192" s="5">
        <f>tbl_financials[[#This Row],[Net_Sales]]</f>
        <v>407376</v>
      </c>
      <c r="R192" s="5">
        <f>ROUND(tbl_financials[[#This Row],[Revenue]]*(0.12+MOD(ROW(),7)/100),2)</f>
        <v>61106.400000000001</v>
      </c>
      <c r="S192" s="7">
        <f t="shared" si="2"/>
        <v>6952</v>
      </c>
      <c r="T192" s="5">
        <f>tbl_financials[[#This Row],[Gross_Profit]]-tbl_financials[[#This Row],[Operating_Expenses]]+tbl_financials[[#This Row],[Other_Income]]</f>
        <v>-403.40000000000146</v>
      </c>
      <c r="U192" s="11">
        <f>IF(tbl_financials[[#This Row],[Revenue]]=0,0,tbl_financials[[#This Row],[Net_Profit]]/tbl_financials[[#This Row],[Revenue]])</f>
        <v>-9.9023997486352038E-4</v>
      </c>
      <c r="V192" s="11" t="str">
        <f>tbl_financials[[#This Row],[Month_Name]] &amp; "_" &amp; tbl_financials[[#This Row],[Year]]</f>
        <v>April_2014</v>
      </c>
      <c r="W192" s="11" t="str">
        <f>tbl_financials[[#This Row],[Month_Name]] &amp; "_" &amp; (tbl_financials[[#This Row],[Year]]-1)</f>
        <v>April_2013</v>
      </c>
      <c r="X19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93" spans="1:24" x14ac:dyDescent="0.3">
      <c r="A193" t="s">
        <v>4</v>
      </c>
      <c r="B193" t="s">
        <v>14</v>
      </c>
      <c r="C193" t="s">
        <v>34</v>
      </c>
      <c r="D193" t="s">
        <v>39</v>
      </c>
      <c r="E193" s="9">
        <v>2918</v>
      </c>
      <c r="F193" s="7">
        <v>10</v>
      </c>
      <c r="G193" s="7">
        <v>300</v>
      </c>
      <c r="H193" s="7">
        <v>875400</v>
      </c>
      <c r="I193" s="5">
        <v>35016</v>
      </c>
      <c r="J193" s="5">
        <v>840384</v>
      </c>
      <c r="K193" s="7">
        <v>729500</v>
      </c>
      <c r="L193" s="5">
        <v>110884</v>
      </c>
      <c r="M193" s="1">
        <v>41760</v>
      </c>
      <c r="N193">
        <v>5</v>
      </c>
      <c r="O193" t="s">
        <v>22</v>
      </c>
      <c r="P193" t="s">
        <v>12</v>
      </c>
      <c r="Q193" s="5">
        <f>tbl_financials[[#This Row],[Net_Sales]]</f>
        <v>840384</v>
      </c>
      <c r="R193" s="5">
        <f>ROUND(tbl_financials[[#This Row],[Revenue]]*(0.12+MOD(ROW(),7)/100),2)</f>
        <v>134461.44</v>
      </c>
      <c r="S193" s="7">
        <f t="shared" si="2"/>
        <v>6983</v>
      </c>
      <c r="T193" s="5">
        <f>tbl_financials[[#This Row],[Gross_Profit]]-tbl_financials[[#This Row],[Operating_Expenses]]+tbl_financials[[#This Row],[Other_Income]]</f>
        <v>-16594.440000000002</v>
      </c>
      <c r="U193" s="11">
        <f>IF(tbl_financials[[#This Row],[Revenue]]=0,0,tbl_financials[[#This Row],[Net_Profit]]/tbl_financials[[#This Row],[Revenue]])</f>
        <v>-1.9746258853095732E-2</v>
      </c>
      <c r="V193" s="11" t="str">
        <f>tbl_financials[[#This Row],[Month_Name]] &amp; "_" &amp; tbl_financials[[#This Row],[Year]]</f>
        <v>May_2014</v>
      </c>
      <c r="W193" s="11" t="str">
        <f>tbl_financials[[#This Row],[Month_Name]] &amp; "_" &amp; (tbl_financials[[#This Row],[Year]]-1)</f>
        <v>May_2013</v>
      </c>
      <c r="X19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94" spans="1:24" x14ac:dyDescent="0.3">
      <c r="A194" t="s">
        <v>7</v>
      </c>
      <c r="B194" t="s">
        <v>14</v>
      </c>
      <c r="C194" t="s">
        <v>34</v>
      </c>
      <c r="D194" t="s">
        <v>39</v>
      </c>
      <c r="E194" s="9">
        <v>3450</v>
      </c>
      <c r="F194" s="7">
        <v>10</v>
      </c>
      <c r="G194" s="7">
        <v>350</v>
      </c>
      <c r="H194" s="7">
        <v>1207500</v>
      </c>
      <c r="I194" s="5">
        <v>48300</v>
      </c>
      <c r="J194" s="5">
        <v>1159200</v>
      </c>
      <c r="K194" s="7">
        <v>897000</v>
      </c>
      <c r="L194" s="5">
        <v>262200</v>
      </c>
      <c r="M194" s="1">
        <v>41821</v>
      </c>
      <c r="N194">
        <v>7</v>
      </c>
      <c r="O194" t="s">
        <v>24</v>
      </c>
      <c r="P194" t="s">
        <v>12</v>
      </c>
      <c r="Q194" s="5">
        <f>tbl_financials[[#This Row],[Net_Sales]]</f>
        <v>1159200</v>
      </c>
      <c r="R194" s="5">
        <f>ROUND(tbl_financials[[#This Row],[Revenue]]*(0.12+MOD(ROW(),7)/100),2)</f>
        <v>197064</v>
      </c>
      <c r="S194" s="7">
        <f t="shared" ref="S194:S257" si="3">ROUND(1000+MOD(ROW()*31,9000),0)</f>
        <v>7014</v>
      </c>
      <c r="T194" s="5">
        <f>tbl_financials[[#This Row],[Gross_Profit]]-tbl_financials[[#This Row],[Operating_Expenses]]+tbl_financials[[#This Row],[Other_Income]]</f>
        <v>72150</v>
      </c>
      <c r="U194" s="11">
        <f>IF(tbl_financials[[#This Row],[Revenue]]=0,0,tbl_financials[[#This Row],[Net_Profit]]/tbl_financials[[#This Row],[Revenue]])</f>
        <v>6.2241200828157352E-2</v>
      </c>
      <c r="V194" s="11" t="str">
        <f>tbl_financials[[#This Row],[Month_Name]] &amp; "_" &amp; tbl_financials[[#This Row],[Year]]</f>
        <v>July_2014</v>
      </c>
      <c r="W194" s="11" t="str">
        <f>tbl_financials[[#This Row],[Month_Name]] &amp; "_" &amp; (tbl_financials[[#This Row],[Year]]-1)</f>
        <v>July_2013</v>
      </c>
      <c r="X19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95" spans="1:24" x14ac:dyDescent="0.3">
      <c r="A195" t="s">
        <v>6</v>
      </c>
      <c r="B195" t="s">
        <v>15</v>
      </c>
      <c r="C195" t="s">
        <v>34</v>
      </c>
      <c r="D195" t="s">
        <v>39</v>
      </c>
      <c r="E195" s="9">
        <v>2988</v>
      </c>
      <c r="F195" s="7">
        <v>10</v>
      </c>
      <c r="G195" s="7">
        <v>125</v>
      </c>
      <c r="H195" s="7">
        <v>373500</v>
      </c>
      <c r="I195" s="5">
        <v>14940</v>
      </c>
      <c r="J195" s="5">
        <v>358560</v>
      </c>
      <c r="K195" s="7">
        <v>358560</v>
      </c>
      <c r="L195" s="5">
        <v>0</v>
      </c>
      <c r="M195" s="1">
        <v>41821</v>
      </c>
      <c r="N195">
        <v>7</v>
      </c>
      <c r="O195" t="s">
        <v>24</v>
      </c>
      <c r="P195" t="s">
        <v>12</v>
      </c>
      <c r="Q195" s="5">
        <f>tbl_financials[[#This Row],[Net_Sales]]</f>
        <v>358560</v>
      </c>
      <c r="R195" s="5">
        <f>ROUND(tbl_financials[[#This Row],[Revenue]]*(0.12+MOD(ROW(),7)/100),2)</f>
        <v>64540.800000000003</v>
      </c>
      <c r="S195" s="7">
        <f t="shared" si="3"/>
        <v>7045</v>
      </c>
      <c r="T195" s="5">
        <f>tbl_financials[[#This Row],[Gross_Profit]]-tbl_financials[[#This Row],[Operating_Expenses]]+tbl_financials[[#This Row],[Other_Income]]</f>
        <v>-57495.8</v>
      </c>
      <c r="U195" s="11">
        <f>IF(tbl_financials[[#This Row],[Revenue]]=0,0,tbl_financials[[#This Row],[Net_Profit]]/tbl_financials[[#This Row],[Revenue]])</f>
        <v>-0.16035196340919233</v>
      </c>
      <c r="V195" s="11" t="str">
        <f>tbl_financials[[#This Row],[Month_Name]] &amp; "_" &amp; tbl_financials[[#This Row],[Year]]</f>
        <v>July_2014</v>
      </c>
      <c r="W195" s="11" t="str">
        <f>tbl_financials[[#This Row],[Month_Name]] &amp; "_" &amp; (tbl_financials[[#This Row],[Year]]-1)</f>
        <v>July_2013</v>
      </c>
      <c r="X19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196" spans="1:24" x14ac:dyDescent="0.3">
      <c r="A196" t="s">
        <v>5</v>
      </c>
      <c r="B196" t="s">
        <v>13</v>
      </c>
      <c r="C196" t="s">
        <v>34</v>
      </c>
      <c r="D196" t="s">
        <v>39</v>
      </c>
      <c r="E196" s="9">
        <v>218</v>
      </c>
      <c r="F196" s="7">
        <v>10</v>
      </c>
      <c r="G196" s="7">
        <v>15</v>
      </c>
      <c r="H196" s="7">
        <v>3270</v>
      </c>
      <c r="I196" s="5">
        <v>130.80000000000001</v>
      </c>
      <c r="J196" s="5">
        <v>3139.2</v>
      </c>
      <c r="K196" s="7">
        <v>2180</v>
      </c>
      <c r="L196" s="5">
        <v>959.19999999999902</v>
      </c>
      <c r="M196" s="1">
        <v>41883</v>
      </c>
      <c r="N196">
        <v>9</v>
      </c>
      <c r="O196" t="s">
        <v>26</v>
      </c>
      <c r="P196" t="s">
        <v>12</v>
      </c>
      <c r="Q196" s="5">
        <f>tbl_financials[[#This Row],[Net_Sales]]</f>
        <v>3139.2</v>
      </c>
      <c r="R196" s="5">
        <f>ROUND(tbl_financials[[#This Row],[Revenue]]*(0.12+MOD(ROW(),7)/100),2)</f>
        <v>376.7</v>
      </c>
      <c r="S196" s="7">
        <f t="shared" si="3"/>
        <v>7076</v>
      </c>
      <c r="T196" s="5">
        <f>tbl_financials[[#This Row],[Gross_Profit]]-tbl_financials[[#This Row],[Operating_Expenses]]+tbl_financials[[#This Row],[Other_Income]]</f>
        <v>7658.4999999999991</v>
      </c>
      <c r="U196" s="11">
        <f>IF(tbl_financials[[#This Row],[Revenue]]=0,0,tbl_financials[[#This Row],[Net_Profit]]/tbl_financials[[#This Row],[Revenue]])</f>
        <v>2.4396343017329256</v>
      </c>
      <c r="V196" s="11" t="str">
        <f>tbl_financials[[#This Row],[Month_Name]] &amp; "_" &amp; tbl_financials[[#This Row],[Year]]</f>
        <v>September_2014</v>
      </c>
      <c r="W196" s="11" t="str">
        <f>tbl_financials[[#This Row],[Month_Name]] &amp; "_" &amp; (tbl_financials[[#This Row],[Year]]-1)</f>
        <v>September_2013</v>
      </c>
      <c r="X19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-0.61879781420765034</v>
      </c>
    </row>
    <row r="197" spans="1:24" x14ac:dyDescent="0.3">
      <c r="A197" t="s">
        <v>7</v>
      </c>
      <c r="B197" t="s">
        <v>13</v>
      </c>
      <c r="C197" t="s">
        <v>34</v>
      </c>
      <c r="D197" t="s">
        <v>39</v>
      </c>
      <c r="E197" s="9">
        <v>2074</v>
      </c>
      <c r="F197" s="7">
        <v>10</v>
      </c>
      <c r="G197" s="7">
        <v>20</v>
      </c>
      <c r="H197" s="7">
        <v>41480</v>
      </c>
      <c r="I197" s="5">
        <v>1659.2</v>
      </c>
      <c r="J197" s="5">
        <v>39820.800000000003</v>
      </c>
      <c r="K197" s="7">
        <v>20740</v>
      </c>
      <c r="L197" s="5">
        <v>19080.8</v>
      </c>
      <c r="M197" s="1">
        <v>41883</v>
      </c>
      <c r="N197">
        <v>9</v>
      </c>
      <c r="O197" t="s">
        <v>26</v>
      </c>
      <c r="P197" t="s">
        <v>12</v>
      </c>
      <c r="Q197" s="5">
        <f>tbl_financials[[#This Row],[Net_Sales]]</f>
        <v>39820.800000000003</v>
      </c>
      <c r="R197" s="5">
        <f>ROUND(tbl_financials[[#This Row],[Revenue]]*(0.12+MOD(ROW(),7)/100),2)</f>
        <v>5176.7</v>
      </c>
      <c r="S197" s="7">
        <f t="shared" si="3"/>
        <v>7107</v>
      </c>
      <c r="T197" s="5">
        <f>tbl_financials[[#This Row],[Gross_Profit]]-tbl_financials[[#This Row],[Operating_Expenses]]+tbl_financials[[#This Row],[Other_Income]]</f>
        <v>21011.1</v>
      </c>
      <c r="U197" s="11">
        <f>IF(tbl_financials[[#This Row],[Revenue]]=0,0,tbl_financials[[#This Row],[Net_Profit]]/tbl_financials[[#This Row],[Revenue]])</f>
        <v>0.52764133317261319</v>
      </c>
      <c r="V197" s="11" t="str">
        <f>tbl_financials[[#This Row],[Month_Name]] &amp; "_" &amp; tbl_financials[[#This Row],[Year]]</f>
        <v>September_2014</v>
      </c>
      <c r="W197" s="11" t="str">
        <f>tbl_financials[[#This Row],[Month_Name]] &amp; "_" &amp; (tbl_financials[[#This Row],[Year]]-1)</f>
        <v>September_2013</v>
      </c>
      <c r="X19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3.8355555555555561</v>
      </c>
    </row>
    <row r="198" spans="1:24" x14ac:dyDescent="0.3">
      <c r="A198" t="s">
        <v>7</v>
      </c>
      <c r="B198" t="s">
        <v>14</v>
      </c>
      <c r="C198" t="s">
        <v>34</v>
      </c>
      <c r="D198" t="s">
        <v>39</v>
      </c>
      <c r="E198" s="9">
        <v>1056</v>
      </c>
      <c r="F198" s="7">
        <v>10</v>
      </c>
      <c r="G198" s="7">
        <v>20</v>
      </c>
      <c r="H198" s="7">
        <v>21120</v>
      </c>
      <c r="I198" s="5">
        <v>844.8</v>
      </c>
      <c r="J198" s="5">
        <v>20275.2</v>
      </c>
      <c r="K198" s="7">
        <v>10560</v>
      </c>
      <c r="L198" s="5">
        <v>9715.2000000000007</v>
      </c>
      <c r="M198" s="1">
        <v>41883</v>
      </c>
      <c r="N198">
        <v>9</v>
      </c>
      <c r="O198" t="s">
        <v>26</v>
      </c>
      <c r="P198" t="s">
        <v>12</v>
      </c>
      <c r="Q198" s="5">
        <f>tbl_financials[[#This Row],[Net_Sales]]</f>
        <v>20275.2</v>
      </c>
      <c r="R198" s="5">
        <f>ROUND(tbl_financials[[#This Row],[Revenue]]*(0.12+MOD(ROW(),7)/100),2)</f>
        <v>2838.53</v>
      </c>
      <c r="S198" s="7">
        <f t="shared" si="3"/>
        <v>7138</v>
      </c>
      <c r="T198" s="5">
        <f>tbl_financials[[#This Row],[Gross_Profit]]-tbl_financials[[#This Row],[Operating_Expenses]]+tbl_financials[[#This Row],[Other_Income]]</f>
        <v>14014.67</v>
      </c>
      <c r="U198" s="11">
        <f>IF(tbl_financials[[#This Row],[Revenue]]=0,0,tbl_financials[[#This Row],[Net_Profit]]/tbl_financials[[#This Row],[Revenue]])</f>
        <v>0.69122228140782827</v>
      </c>
      <c r="V198" s="11" t="str">
        <f>tbl_financials[[#This Row],[Month_Name]] &amp; "_" &amp; tbl_financials[[#This Row],[Year]]</f>
        <v>September_2014</v>
      </c>
      <c r="W198" s="11" t="str">
        <f>tbl_financials[[#This Row],[Month_Name]] &amp; "_" &amp; (tbl_financials[[#This Row],[Year]]-1)</f>
        <v>September_2013</v>
      </c>
      <c r="X19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1.4620765027322404</v>
      </c>
    </row>
    <row r="199" spans="1:24" x14ac:dyDescent="0.3">
      <c r="A199" t="s">
        <v>5</v>
      </c>
      <c r="B199" t="s">
        <v>14</v>
      </c>
      <c r="C199" t="s">
        <v>34</v>
      </c>
      <c r="D199" t="s">
        <v>39</v>
      </c>
      <c r="E199" s="9">
        <v>671</v>
      </c>
      <c r="F199" s="7">
        <v>10</v>
      </c>
      <c r="G199" s="7">
        <v>15</v>
      </c>
      <c r="H199" s="7">
        <v>10065</v>
      </c>
      <c r="I199" s="5">
        <v>402.6</v>
      </c>
      <c r="J199" s="5">
        <v>9662.4</v>
      </c>
      <c r="K199" s="7">
        <v>6710</v>
      </c>
      <c r="L199" s="5">
        <v>2952.3999999999901</v>
      </c>
      <c r="M199" s="1">
        <v>41548</v>
      </c>
      <c r="N199">
        <v>10</v>
      </c>
      <c r="O199" t="s">
        <v>27</v>
      </c>
      <c r="P199" t="s">
        <v>11</v>
      </c>
      <c r="Q199" s="5">
        <f>tbl_financials[[#This Row],[Net_Sales]]</f>
        <v>9662.4</v>
      </c>
      <c r="R199" s="5">
        <f>ROUND(tbl_financials[[#This Row],[Revenue]]*(0.12+MOD(ROW(),7)/100),2)</f>
        <v>1449.36</v>
      </c>
      <c r="S199" s="7">
        <f t="shared" si="3"/>
        <v>7169</v>
      </c>
      <c r="T199" s="5">
        <f>tbl_financials[[#This Row],[Gross_Profit]]-tbl_financials[[#This Row],[Operating_Expenses]]+tbl_financials[[#This Row],[Other_Income]]</f>
        <v>8672.03999999999</v>
      </c>
      <c r="U199" s="11">
        <f>IF(tbl_financials[[#This Row],[Revenue]]=0,0,tbl_financials[[#This Row],[Net_Profit]]/tbl_financials[[#This Row],[Revenue]])</f>
        <v>0.89750372578241333</v>
      </c>
      <c r="V199" s="11" t="str">
        <f>tbl_financials[[#This Row],[Month_Name]] &amp; "_" &amp; tbl_financials[[#This Row],[Year]]</f>
        <v>October_2013</v>
      </c>
      <c r="W199" s="11" t="str">
        <f>tbl_financials[[#This Row],[Month_Name]] &amp; "_" &amp; (tbl_financials[[#This Row],[Year]]-1)</f>
        <v>October_2012</v>
      </c>
      <c r="X19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00" spans="1:24" x14ac:dyDescent="0.3">
      <c r="A200" t="s">
        <v>5</v>
      </c>
      <c r="B200" t="s">
        <v>17</v>
      </c>
      <c r="C200" t="s">
        <v>34</v>
      </c>
      <c r="D200" t="s">
        <v>39</v>
      </c>
      <c r="E200" s="9">
        <v>1514</v>
      </c>
      <c r="F200" s="7">
        <v>10</v>
      </c>
      <c r="G200" s="7">
        <v>15</v>
      </c>
      <c r="H200" s="7">
        <v>22710</v>
      </c>
      <c r="I200" s="5">
        <v>908.4</v>
      </c>
      <c r="J200" s="5">
        <v>21801.599999999999</v>
      </c>
      <c r="K200" s="7">
        <v>15140</v>
      </c>
      <c r="L200" s="5">
        <v>6661.5999999999904</v>
      </c>
      <c r="M200" s="1">
        <v>41548</v>
      </c>
      <c r="N200">
        <v>10</v>
      </c>
      <c r="O200" t="s">
        <v>27</v>
      </c>
      <c r="P200" t="s">
        <v>11</v>
      </c>
      <c r="Q200" s="5">
        <f>tbl_financials[[#This Row],[Net_Sales]]</f>
        <v>21801.599999999999</v>
      </c>
      <c r="R200" s="5">
        <f>ROUND(tbl_financials[[#This Row],[Revenue]]*(0.12+MOD(ROW(),7)/100),2)</f>
        <v>3488.26</v>
      </c>
      <c r="S200" s="7">
        <f t="shared" si="3"/>
        <v>7200</v>
      </c>
      <c r="T200" s="5">
        <f>tbl_financials[[#This Row],[Gross_Profit]]-tbl_financials[[#This Row],[Operating_Expenses]]+tbl_financials[[#This Row],[Other_Income]]</f>
        <v>10373.339999999989</v>
      </c>
      <c r="U200" s="11">
        <f>IF(tbl_financials[[#This Row],[Revenue]]=0,0,tbl_financials[[#This Row],[Net_Profit]]/tbl_financials[[#This Row],[Revenue]])</f>
        <v>0.47580636283575473</v>
      </c>
      <c r="V200" s="11" t="str">
        <f>tbl_financials[[#This Row],[Month_Name]] &amp; "_" &amp; tbl_financials[[#This Row],[Year]]</f>
        <v>October_2013</v>
      </c>
      <c r="W200" s="11" t="str">
        <f>tbl_financials[[#This Row],[Month_Name]] &amp; "_" &amp; (tbl_financials[[#This Row],[Year]]-1)</f>
        <v>October_2012</v>
      </c>
      <c r="X20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01" spans="1:24" x14ac:dyDescent="0.3">
      <c r="A201" t="s">
        <v>7</v>
      </c>
      <c r="B201" t="s">
        <v>14</v>
      </c>
      <c r="C201" t="s">
        <v>34</v>
      </c>
      <c r="D201" t="s">
        <v>39</v>
      </c>
      <c r="E201" s="9">
        <v>274</v>
      </c>
      <c r="F201" s="7">
        <v>10</v>
      </c>
      <c r="G201" s="7">
        <v>350</v>
      </c>
      <c r="H201" s="7">
        <v>95900</v>
      </c>
      <c r="I201" s="5">
        <v>3836</v>
      </c>
      <c r="J201" s="5">
        <v>92064</v>
      </c>
      <c r="K201" s="7">
        <v>71240</v>
      </c>
      <c r="L201" s="5">
        <v>20824</v>
      </c>
      <c r="M201" s="1">
        <v>41974</v>
      </c>
      <c r="N201">
        <v>12</v>
      </c>
      <c r="O201" t="s">
        <v>29</v>
      </c>
      <c r="P201" t="s">
        <v>12</v>
      </c>
      <c r="Q201" s="5">
        <f>tbl_financials[[#This Row],[Net_Sales]]</f>
        <v>92064</v>
      </c>
      <c r="R201" s="5">
        <f>ROUND(tbl_financials[[#This Row],[Revenue]]*(0.12+MOD(ROW(),7)/100),2)</f>
        <v>15650.88</v>
      </c>
      <c r="S201" s="7">
        <f t="shared" si="3"/>
        <v>7231</v>
      </c>
      <c r="T201" s="5">
        <f>tbl_financials[[#This Row],[Gross_Profit]]-tbl_financials[[#This Row],[Operating_Expenses]]+tbl_financials[[#This Row],[Other_Income]]</f>
        <v>12404.12</v>
      </c>
      <c r="U201" s="11">
        <f>IF(tbl_financials[[#This Row],[Revenue]]=0,0,tbl_financials[[#This Row],[Net_Profit]]/tbl_financials[[#This Row],[Revenue]])</f>
        <v>0.13473366353840807</v>
      </c>
      <c r="V201" s="11" t="str">
        <f>tbl_financials[[#This Row],[Month_Name]] &amp; "_" &amp; tbl_financials[[#This Row],[Year]]</f>
        <v>December_2014</v>
      </c>
      <c r="W201" s="11" t="str">
        <f>tbl_financials[[#This Row],[Month_Name]] &amp; "_" &amp; (tbl_financials[[#This Row],[Year]]-1)</f>
        <v>December_2013</v>
      </c>
      <c r="X20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1.8520446096654275</v>
      </c>
    </row>
    <row r="202" spans="1:24" x14ac:dyDescent="0.3">
      <c r="A202" t="s">
        <v>6</v>
      </c>
      <c r="B202" t="s">
        <v>17</v>
      </c>
      <c r="C202" t="s">
        <v>34</v>
      </c>
      <c r="D202" t="s">
        <v>39</v>
      </c>
      <c r="E202" s="9">
        <v>1138</v>
      </c>
      <c r="F202" s="7">
        <v>10</v>
      </c>
      <c r="G202" s="7">
        <v>125</v>
      </c>
      <c r="H202" s="7">
        <v>142250</v>
      </c>
      <c r="I202" s="5">
        <v>5690</v>
      </c>
      <c r="J202" s="5">
        <v>136560</v>
      </c>
      <c r="K202" s="7">
        <v>136560</v>
      </c>
      <c r="L202" s="5">
        <v>0</v>
      </c>
      <c r="M202" s="1">
        <v>41974</v>
      </c>
      <c r="N202">
        <v>12</v>
      </c>
      <c r="O202" t="s">
        <v>29</v>
      </c>
      <c r="P202" t="s">
        <v>12</v>
      </c>
      <c r="Q202" s="5">
        <f>tbl_financials[[#This Row],[Net_Sales]]</f>
        <v>136560</v>
      </c>
      <c r="R202" s="5">
        <f>ROUND(tbl_financials[[#This Row],[Revenue]]*(0.12+MOD(ROW(),7)/100),2)</f>
        <v>24580.799999999999</v>
      </c>
      <c r="S202" s="7">
        <f t="shared" si="3"/>
        <v>7262</v>
      </c>
      <c r="T202" s="5">
        <f>tbl_financials[[#This Row],[Gross_Profit]]-tbl_financials[[#This Row],[Operating_Expenses]]+tbl_financials[[#This Row],[Other_Income]]</f>
        <v>-17318.8</v>
      </c>
      <c r="U202" s="11">
        <f>IF(tbl_financials[[#This Row],[Revenue]]=0,0,tbl_financials[[#This Row],[Net_Profit]]/tbl_financials[[#This Row],[Revenue]])</f>
        <v>-0.12682190978324545</v>
      </c>
      <c r="V202" s="11" t="str">
        <f>tbl_financials[[#This Row],[Month_Name]] &amp; "_" &amp; tbl_financials[[#This Row],[Year]]</f>
        <v>December_2014</v>
      </c>
      <c r="W202" s="11" t="str">
        <f>tbl_financials[[#This Row],[Month_Name]] &amp; "_" &amp; (tbl_financials[[#This Row],[Year]]-1)</f>
        <v>December_2013</v>
      </c>
      <c r="X20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3.2304832713754648</v>
      </c>
    </row>
    <row r="203" spans="1:24" x14ac:dyDescent="0.3">
      <c r="A203" t="s">
        <v>8</v>
      </c>
      <c r="B203" t="s">
        <v>14</v>
      </c>
      <c r="C203" t="s">
        <v>35</v>
      </c>
      <c r="D203" t="s">
        <v>39</v>
      </c>
      <c r="E203" s="9">
        <v>1465</v>
      </c>
      <c r="F203" s="7">
        <v>120</v>
      </c>
      <c r="G203" s="7">
        <v>12</v>
      </c>
      <c r="H203" s="7">
        <v>17580</v>
      </c>
      <c r="I203" s="5">
        <v>703.2</v>
      </c>
      <c r="J203" s="5">
        <v>16876.8</v>
      </c>
      <c r="K203" s="7">
        <v>4395</v>
      </c>
      <c r="L203" s="5">
        <v>12481.8</v>
      </c>
      <c r="M203" s="1">
        <v>41699</v>
      </c>
      <c r="N203">
        <v>3</v>
      </c>
      <c r="O203" t="s">
        <v>20</v>
      </c>
      <c r="P203" t="s">
        <v>12</v>
      </c>
      <c r="Q203" s="5">
        <f>tbl_financials[[#This Row],[Net_Sales]]</f>
        <v>16876.8</v>
      </c>
      <c r="R203" s="5">
        <f>ROUND(tbl_financials[[#This Row],[Revenue]]*(0.12+MOD(ROW(),7)/100),2)</f>
        <v>2025.22</v>
      </c>
      <c r="S203" s="7">
        <f t="shared" si="3"/>
        <v>7293</v>
      </c>
      <c r="T203" s="5">
        <f>tbl_financials[[#This Row],[Gross_Profit]]-tbl_financials[[#This Row],[Operating_Expenses]]+tbl_financials[[#This Row],[Other_Income]]</f>
        <v>17749.580000000002</v>
      </c>
      <c r="U203" s="11">
        <f>IF(tbl_financials[[#This Row],[Revenue]]=0,0,tbl_financials[[#This Row],[Net_Profit]]/tbl_financials[[#This Row],[Revenue]])</f>
        <v>1.0517147800530908</v>
      </c>
      <c r="V203" s="11" t="str">
        <f>tbl_financials[[#This Row],[Month_Name]] &amp; "_" &amp; tbl_financials[[#This Row],[Year]]</f>
        <v>March_2014</v>
      </c>
      <c r="W203" s="11" t="str">
        <f>tbl_financials[[#This Row],[Month_Name]] &amp; "_" &amp; (tbl_financials[[#This Row],[Year]]-1)</f>
        <v>March_2013</v>
      </c>
      <c r="X20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04" spans="1:24" x14ac:dyDescent="0.3">
      <c r="A204" t="s">
        <v>7</v>
      </c>
      <c r="B204" t="s">
        <v>13</v>
      </c>
      <c r="C204" t="s">
        <v>35</v>
      </c>
      <c r="D204" t="s">
        <v>39</v>
      </c>
      <c r="E204" s="9">
        <v>2646</v>
      </c>
      <c r="F204" s="7">
        <v>120</v>
      </c>
      <c r="G204" s="7">
        <v>20</v>
      </c>
      <c r="H204" s="7">
        <v>52920</v>
      </c>
      <c r="I204" s="5">
        <v>2116.8000000000002</v>
      </c>
      <c r="J204" s="5">
        <v>50803.199999999997</v>
      </c>
      <c r="K204" s="7">
        <v>26460</v>
      </c>
      <c r="L204" s="5">
        <v>24343.199999999899</v>
      </c>
      <c r="M204" s="1">
        <v>41518</v>
      </c>
      <c r="N204">
        <v>9</v>
      </c>
      <c r="O204" t="s">
        <v>26</v>
      </c>
      <c r="P204" t="s">
        <v>11</v>
      </c>
      <c r="Q204" s="5">
        <f>tbl_financials[[#This Row],[Net_Sales]]</f>
        <v>50803.199999999997</v>
      </c>
      <c r="R204" s="5">
        <f>ROUND(tbl_financials[[#This Row],[Revenue]]*(0.12+MOD(ROW(),7)/100),2)</f>
        <v>6604.42</v>
      </c>
      <c r="S204" s="7">
        <f t="shared" si="3"/>
        <v>7324</v>
      </c>
      <c r="T204" s="5">
        <f>tbl_financials[[#This Row],[Gross_Profit]]-tbl_financials[[#This Row],[Operating_Expenses]]+tbl_financials[[#This Row],[Other_Income]]</f>
        <v>25062.779999999897</v>
      </c>
      <c r="U204" s="11">
        <f>IF(tbl_financials[[#This Row],[Revenue]]=0,0,tbl_financials[[#This Row],[Net_Profit]]/tbl_financials[[#This Row],[Revenue]])</f>
        <v>0.49333073507180453</v>
      </c>
      <c r="V204" s="11" t="str">
        <f>tbl_financials[[#This Row],[Month_Name]] &amp; "_" &amp; tbl_financials[[#This Row],[Year]]</f>
        <v>September_2013</v>
      </c>
      <c r="W204" s="11" t="str">
        <f>tbl_financials[[#This Row],[Month_Name]] &amp; "_" &amp; (tbl_financials[[#This Row],[Year]]-1)</f>
        <v>September_2012</v>
      </c>
      <c r="X20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05" spans="1:24" x14ac:dyDescent="0.3">
      <c r="A205" t="s">
        <v>7</v>
      </c>
      <c r="B205" t="s">
        <v>15</v>
      </c>
      <c r="C205" t="s">
        <v>35</v>
      </c>
      <c r="D205" t="s">
        <v>39</v>
      </c>
      <c r="E205" s="9">
        <v>2177</v>
      </c>
      <c r="F205" s="7">
        <v>120</v>
      </c>
      <c r="G205" s="7">
        <v>350</v>
      </c>
      <c r="H205" s="7">
        <v>761950</v>
      </c>
      <c r="I205" s="5">
        <v>30478</v>
      </c>
      <c r="J205" s="5">
        <v>731472</v>
      </c>
      <c r="K205" s="7">
        <v>566020</v>
      </c>
      <c r="L205" s="5">
        <v>165452</v>
      </c>
      <c r="M205" s="1">
        <v>41913</v>
      </c>
      <c r="N205">
        <v>10</v>
      </c>
      <c r="O205" t="s">
        <v>27</v>
      </c>
      <c r="P205" t="s">
        <v>12</v>
      </c>
      <c r="Q205" s="5">
        <f>tbl_financials[[#This Row],[Net_Sales]]</f>
        <v>731472</v>
      </c>
      <c r="R205" s="5">
        <f>ROUND(tbl_financials[[#This Row],[Revenue]]*(0.12+MOD(ROW(),7)/100),2)</f>
        <v>102406.08</v>
      </c>
      <c r="S205" s="7">
        <f t="shared" si="3"/>
        <v>7355</v>
      </c>
      <c r="T205" s="5">
        <f>tbl_financials[[#This Row],[Gross_Profit]]-tbl_financials[[#This Row],[Operating_Expenses]]+tbl_financials[[#This Row],[Other_Income]]</f>
        <v>70400.92</v>
      </c>
      <c r="U205" s="11">
        <f>IF(tbl_financials[[#This Row],[Revenue]]=0,0,tbl_financials[[#This Row],[Net_Profit]]/tbl_financials[[#This Row],[Revenue]])</f>
        <v>9.624554323337052E-2</v>
      </c>
      <c r="V205" s="11" t="str">
        <f>tbl_financials[[#This Row],[Month_Name]] &amp; "_" &amp; tbl_financials[[#This Row],[Year]]</f>
        <v>October_2014</v>
      </c>
      <c r="W205" s="11" t="str">
        <f>tbl_financials[[#This Row],[Month_Name]] &amp; "_" &amp; (tbl_financials[[#This Row],[Year]]-1)</f>
        <v>October_2013</v>
      </c>
      <c r="X20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15.961669565217392</v>
      </c>
    </row>
    <row r="206" spans="1:24" x14ac:dyDescent="0.3">
      <c r="A206" t="s">
        <v>8</v>
      </c>
      <c r="B206" t="s">
        <v>15</v>
      </c>
      <c r="C206" t="s">
        <v>36</v>
      </c>
      <c r="D206" t="s">
        <v>39</v>
      </c>
      <c r="E206" s="9">
        <v>866</v>
      </c>
      <c r="F206" s="7">
        <v>250</v>
      </c>
      <c r="G206" s="7">
        <v>12</v>
      </c>
      <c r="H206" s="7">
        <v>10392</v>
      </c>
      <c r="I206" s="5">
        <v>415.68</v>
      </c>
      <c r="J206" s="5">
        <v>9976.32</v>
      </c>
      <c r="K206" s="7">
        <v>2598</v>
      </c>
      <c r="L206" s="5">
        <v>7378.32</v>
      </c>
      <c r="M206" s="1">
        <v>41760</v>
      </c>
      <c r="N206">
        <v>5</v>
      </c>
      <c r="O206" t="s">
        <v>22</v>
      </c>
      <c r="P206" t="s">
        <v>12</v>
      </c>
      <c r="Q206" s="5">
        <f>tbl_financials[[#This Row],[Net_Sales]]</f>
        <v>9976.32</v>
      </c>
      <c r="R206" s="5">
        <f>ROUND(tbl_financials[[#This Row],[Revenue]]*(0.12+MOD(ROW(),7)/100),2)</f>
        <v>1496.45</v>
      </c>
      <c r="S206" s="7">
        <f t="shared" si="3"/>
        <v>7386</v>
      </c>
      <c r="T206" s="5">
        <f>tbl_financials[[#This Row],[Gross_Profit]]-tbl_financials[[#This Row],[Operating_Expenses]]+tbl_financials[[#This Row],[Other_Income]]</f>
        <v>13267.869999999999</v>
      </c>
      <c r="U206" s="11">
        <f>IF(tbl_financials[[#This Row],[Revenue]]=0,0,tbl_financials[[#This Row],[Net_Profit]]/tbl_financials[[#This Row],[Revenue]])</f>
        <v>1.329936289132666</v>
      </c>
      <c r="V206" s="11" t="str">
        <f>tbl_financials[[#This Row],[Month_Name]] &amp; "_" &amp; tbl_financials[[#This Row],[Year]]</f>
        <v>May_2014</v>
      </c>
      <c r="W206" s="11" t="str">
        <f>tbl_financials[[#This Row],[Month_Name]] &amp; "_" &amp; (tbl_financials[[#This Row],[Year]]-1)</f>
        <v>May_2013</v>
      </c>
      <c r="X20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07" spans="1:24" x14ac:dyDescent="0.3">
      <c r="A207" t="s">
        <v>7</v>
      </c>
      <c r="B207" t="s">
        <v>14</v>
      </c>
      <c r="C207" t="s">
        <v>36</v>
      </c>
      <c r="D207" t="s">
        <v>39</v>
      </c>
      <c r="E207" s="9">
        <v>349</v>
      </c>
      <c r="F207" s="7">
        <v>250</v>
      </c>
      <c r="G207" s="7">
        <v>350</v>
      </c>
      <c r="H207" s="7">
        <v>122150</v>
      </c>
      <c r="I207" s="5">
        <v>4886</v>
      </c>
      <c r="J207" s="5">
        <v>117264</v>
      </c>
      <c r="K207" s="7">
        <v>90740</v>
      </c>
      <c r="L207" s="5">
        <v>26524</v>
      </c>
      <c r="M207" s="1">
        <v>41518</v>
      </c>
      <c r="N207">
        <v>9</v>
      </c>
      <c r="O207" t="s">
        <v>26</v>
      </c>
      <c r="P207" t="s">
        <v>11</v>
      </c>
      <c r="Q207" s="5">
        <f>tbl_financials[[#This Row],[Net_Sales]]</f>
        <v>117264</v>
      </c>
      <c r="R207" s="5">
        <f>ROUND(tbl_financials[[#This Row],[Revenue]]*(0.12+MOD(ROW(),7)/100),2)</f>
        <v>18762.240000000002</v>
      </c>
      <c r="S207" s="7">
        <f t="shared" si="3"/>
        <v>7417</v>
      </c>
      <c r="T207" s="5">
        <f>tbl_financials[[#This Row],[Gross_Profit]]-tbl_financials[[#This Row],[Operating_Expenses]]+tbl_financials[[#This Row],[Other_Income]]</f>
        <v>15178.759999999998</v>
      </c>
      <c r="U207" s="11">
        <f>IF(tbl_financials[[#This Row],[Revenue]]=0,0,tbl_financials[[#This Row],[Net_Profit]]/tbl_financials[[#This Row],[Revenue]])</f>
        <v>0.12944091963432935</v>
      </c>
      <c r="V207" s="11" t="str">
        <f>tbl_financials[[#This Row],[Month_Name]] &amp; "_" &amp; tbl_financials[[#This Row],[Year]]</f>
        <v>September_2013</v>
      </c>
      <c r="W207" s="11" t="str">
        <f>tbl_financials[[#This Row],[Month_Name]] &amp; "_" &amp; (tbl_financials[[#This Row],[Year]]-1)</f>
        <v>September_2012</v>
      </c>
      <c r="X20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08" spans="1:24" x14ac:dyDescent="0.3">
      <c r="A208" t="s">
        <v>7</v>
      </c>
      <c r="B208" t="s">
        <v>15</v>
      </c>
      <c r="C208" t="s">
        <v>36</v>
      </c>
      <c r="D208" t="s">
        <v>39</v>
      </c>
      <c r="E208" s="9">
        <v>2177</v>
      </c>
      <c r="F208" s="7">
        <v>250</v>
      </c>
      <c r="G208" s="7">
        <v>350</v>
      </c>
      <c r="H208" s="7">
        <v>761950</v>
      </c>
      <c r="I208" s="5">
        <v>30478</v>
      </c>
      <c r="J208" s="5">
        <v>731472</v>
      </c>
      <c r="K208" s="7">
        <v>566020</v>
      </c>
      <c r="L208" s="5">
        <v>165452</v>
      </c>
      <c r="M208" s="1">
        <v>41913</v>
      </c>
      <c r="N208">
        <v>10</v>
      </c>
      <c r="O208" t="s">
        <v>27</v>
      </c>
      <c r="P208" t="s">
        <v>12</v>
      </c>
      <c r="Q208" s="5">
        <f>tbl_financials[[#This Row],[Net_Sales]]</f>
        <v>731472</v>
      </c>
      <c r="R208" s="5">
        <f>ROUND(tbl_financials[[#This Row],[Revenue]]*(0.12+MOD(ROW(),7)/100),2)</f>
        <v>124350.24</v>
      </c>
      <c r="S208" s="7">
        <f t="shared" si="3"/>
        <v>7448</v>
      </c>
      <c r="T208" s="5">
        <f>tbl_financials[[#This Row],[Gross_Profit]]-tbl_financials[[#This Row],[Operating_Expenses]]+tbl_financials[[#This Row],[Other_Income]]</f>
        <v>48549.759999999995</v>
      </c>
      <c r="U208" s="11">
        <f>IF(tbl_financials[[#This Row],[Revenue]]=0,0,tbl_financials[[#This Row],[Net_Profit]]/tbl_financials[[#This Row],[Revenue]])</f>
        <v>6.6372684121880257E-2</v>
      </c>
      <c r="V208" s="11" t="str">
        <f>tbl_financials[[#This Row],[Month_Name]] &amp; "_" &amp; tbl_financials[[#This Row],[Year]]</f>
        <v>October_2014</v>
      </c>
      <c r="W208" s="11" t="str">
        <f>tbl_financials[[#This Row],[Month_Name]] &amp; "_" &amp; (tbl_financials[[#This Row],[Year]]-1)</f>
        <v>October_2013</v>
      </c>
      <c r="X20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15.961669565217392</v>
      </c>
    </row>
    <row r="209" spans="1:24" x14ac:dyDescent="0.3">
      <c r="A209" t="s">
        <v>5</v>
      </c>
      <c r="B209" t="s">
        <v>17</v>
      </c>
      <c r="C209" t="s">
        <v>36</v>
      </c>
      <c r="D209" t="s">
        <v>39</v>
      </c>
      <c r="E209" s="9">
        <v>1514</v>
      </c>
      <c r="F209" s="7">
        <v>250</v>
      </c>
      <c r="G209" s="7">
        <v>15</v>
      </c>
      <c r="H209" s="7">
        <v>22710</v>
      </c>
      <c r="I209" s="5">
        <v>908.4</v>
      </c>
      <c r="J209" s="5">
        <v>21801.599999999999</v>
      </c>
      <c r="K209" s="7">
        <v>15140</v>
      </c>
      <c r="L209" s="5">
        <v>6661.5999999999904</v>
      </c>
      <c r="M209" s="1">
        <v>41548</v>
      </c>
      <c r="N209">
        <v>10</v>
      </c>
      <c r="O209" t="s">
        <v>27</v>
      </c>
      <c r="P209" t="s">
        <v>11</v>
      </c>
      <c r="Q209" s="5">
        <f>tbl_financials[[#This Row],[Net_Sales]]</f>
        <v>21801.599999999999</v>
      </c>
      <c r="R209" s="5">
        <f>ROUND(tbl_financials[[#This Row],[Revenue]]*(0.12+MOD(ROW(),7)/100),2)</f>
        <v>3924.29</v>
      </c>
      <c r="S209" s="7">
        <f t="shared" si="3"/>
        <v>7479</v>
      </c>
      <c r="T209" s="5">
        <f>tbl_financials[[#This Row],[Gross_Profit]]-tbl_financials[[#This Row],[Operating_Expenses]]+tbl_financials[[#This Row],[Other_Income]]</f>
        <v>10216.30999999999</v>
      </c>
      <c r="U209" s="11">
        <f>IF(tbl_financials[[#This Row],[Revenue]]=0,0,tbl_financials[[#This Row],[Net_Profit]]/tbl_financials[[#This Row],[Revenue]])</f>
        <v>0.46860368046381878</v>
      </c>
      <c r="V209" s="11" t="str">
        <f>tbl_financials[[#This Row],[Month_Name]] &amp; "_" &amp; tbl_financials[[#This Row],[Year]]</f>
        <v>October_2013</v>
      </c>
      <c r="W209" s="11" t="str">
        <f>tbl_financials[[#This Row],[Month_Name]] &amp; "_" &amp; (tbl_financials[[#This Row],[Year]]-1)</f>
        <v>October_2012</v>
      </c>
      <c r="X20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10" spans="1:24" x14ac:dyDescent="0.3">
      <c r="A210" t="s">
        <v>7</v>
      </c>
      <c r="B210" t="s">
        <v>17</v>
      </c>
      <c r="C210" t="s">
        <v>37</v>
      </c>
      <c r="D210" t="s">
        <v>39</v>
      </c>
      <c r="E210" s="9">
        <v>1865</v>
      </c>
      <c r="F210" s="7">
        <v>260</v>
      </c>
      <c r="G210" s="7">
        <v>350</v>
      </c>
      <c r="H210" s="7">
        <v>652750</v>
      </c>
      <c r="I210" s="5">
        <v>26110</v>
      </c>
      <c r="J210" s="5">
        <v>626640</v>
      </c>
      <c r="K210" s="7">
        <v>484900</v>
      </c>
      <c r="L210" s="5">
        <v>141740</v>
      </c>
      <c r="M210" s="1">
        <v>41671</v>
      </c>
      <c r="N210">
        <v>2</v>
      </c>
      <c r="O210" t="s">
        <v>19</v>
      </c>
      <c r="P210" t="s">
        <v>12</v>
      </c>
      <c r="Q210" s="5">
        <f>tbl_financials[[#This Row],[Net_Sales]]</f>
        <v>626640</v>
      </c>
      <c r="R210" s="5">
        <f>ROUND(tbl_financials[[#This Row],[Revenue]]*(0.12+MOD(ROW(),7)/100),2)</f>
        <v>75196.800000000003</v>
      </c>
      <c r="S210" s="7">
        <f t="shared" si="3"/>
        <v>7510</v>
      </c>
      <c r="T210" s="5">
        <f>tbl_financials[[#This Row],[Gross_Profit]]-tbl_financials[[#This Row],[Operating_Expenses]]+tbl_financials[[#This Row],[Other_Income]]</f>
        <v>74053.2</v>
      </c>
      <c r="U210" s="11">
        <f>IF(tbl_financials[[#This Row],[Revenue]]=0,0,tbl_financials[[#This Row],[Net_Profit]]/tbl_financials[[#This Row],[Revenue]])</f>
        <v>0.11817502872462657</v>
      </c>
      <c r="V210" s="11" t="str">
        <f>tbl_financials[[#This Row],[Month_Name]] &amp; "_" &amp; tbl_financials[[#This Row],[Year]]</f>
        <v>February_2014</v>
      </c>
      <c r="W210" s="11" t="str">
        <f>tbl_financials[[#This Row],[Month_Name]] &amp; "_" &amp; (tbl_financials[[#This Row],[Year]]-1)</f>
        <v>February_2013</v>
      </c>
      <c r="X21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11" spans="1:24" x14ac:dyDescent="0.3">
      <c r="A211" t="s">
        <v>6</v>
      </c>
      <c r="B211" t="s">
        <v>17</v>
      </c>
      <c r="C211" t="s">
        <v>37</v>
      </c>
      <c r="D211" t="s">
        <v>39</v>
      </c>
      <c r="E211" s="9">
        <v>1074</v>
      </c>
      <c r="F211" s="7">
        <v>260</v>
      </c>
      <c r="G211" s="7">
        <v>125</v>
      </c>
      <c r="H211" s="7">
        <v>134250</v>
      </c>
      <c r="I211" s="5">
        <v>5370</v>
      </c>
      <c r="J211" s="5">
        <v>128880</v>
      </c>
      <c r="K211" s="7">
        <v>128880</v>
      </c>
      <c r="L211" s="5">
        <v>0</v>
      </c>
      <c r="M211" s="1">
        <v>41730</v>
      </c>
      <c r="N211">
        <v>4</v>
      </c>
      <c r="O211" t="s">
        <v>21</v>
      </c>
      <c r="P211" t="s">
        <v>12</v>
      </c>
      <c r="Q211" s="5">
        <f>tbl_financials[[#This Row],[Net_Sales]]</f>
        <v>128880</v>
      </c>
      <c r="R211" s="5">
        <f>ROUND(tbl_financials[[#This Row],[Revenue]]*(0.12+MOD(ROW(),7)/100),2)</f>
        <v>16754.400000000001</v>
      </c>
      <c r="S211" s="7">
        <f t="shared" si="3"/>
        <v>7541</v>
      </c>
      <c r="T211" s="5">
        <f>tbl_financials[[#This Row],[Gross_Profit]]-tbl_financials[[#This Row],[Operating_Expenses]]+tbl_financials[[#This Row],[Other_Income]]</f>
        <v>-9213.4000000000015</v>
      </c>
      <c r="U211" s="11">
        <f>IF(tbl_financials[[#This Row],[Revenue]]=0,0,tbl_financials[[#This Row],[Net_Profit]]/tbl_financials[[#This Row],[Revenue]])</f>
        <v>-7.1488206083178157E-2</v>
      </c>
      <c r="V211" s="11" t="str">
        <f>tbl_financials[[#This Row],[Month_Name]] &amp; "_" &amp; tbl_financials[[#This Row],[Year]]</f>
        <v>April_2014</v>
      </c>
      <c r="W211" s="11" t="str">
        <f>tbl_financials[[#This Row],[Month_Name]] &amp; "_" &amp; (tbl_financials[[#This Row],[Year]]-1)</f>
        <v>April_2013</v>
      </c>
      <c r="X21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12" spans="1:24" x14ac:dyDescent="0.3">
      <c r="A212" t="s">
        <v>7</v>
      </c>
      <c r="B212" t="s">
        <v>16</v>
      </c>
      <c r="C212" t="s">
        <v>37</v>
      </c>
      <c r="D212" t="s">
        <v>39</v>
      </c>
      <c r="E212" s="9">
        <v>1907</v>
      </c>
      <c r="F212" s="7">
        <v>260</v>
      </c>
      <c r="G212" s="7">
        <v>350</v>
      </c>
      <c r="H212" s="7">
        <v>667450</v>
      </c>
      <c r="I212" s="5">
        <v>26698</v>
      </c>
      <c r="J212" s="5">
        <v>640752</v>
      </c>
      <c r="K212" s="7">
        <v>495820</v>
      </c>
      <c r="L212" s="5">
        <v>144932</v>
      </c>
      <c r="M212" s="1">
        <v>41883</v>
      </c>
      <c r="N212">
        <v>9</v>
      </c>
      <c r="O212" t="s">
        <v>26</v>
      </c>
      <c r="P212" t="s">
        <v>12</v>
      </c>
      <c r="Q212" s="5">
        <f>tbl_financials[[#This Row],[Net_Sales]]</f>
        <v>640752</v>
      </c>
      <c r="R212" s="5">
        <f>ROUND(tbl_financials[[#This Row],[Revenue]]*(0.12+MOD(ROW(),7)/100),2)</f>
        <v>89705.279999999999</v>
      </c>
      <c r="S212" s="7">
        <f t="shared" si="3"/>
        <v>7572</v>
      </c>
      <c r="T212" s="5">
        <f>tbl_financials[[#This Row],[Gross_Profit]]-tbl_financials[[#This Row],[Operating_Expenses]]+tbl_financials[[#This Row],[Other_Income]]</f>
        <v>62798.720000000001</v>
      </c>
      <c r="U212" s="11">
        <f>IF(tbl_financials[[#This Row],[Revenue]]=0,0,tbl_financials[[#This Row],[Net_Profit]]/tbl_financials[[#This Row],[Revenue]])</f>
        <v>9.8007840787075182E-2</v>
      </c>
      <c r="V212" s="11" t="str">
        <f>tbl_financials[[#This Row],[Month_Name]] &amp; "_" &amp; tbl_financials[[#This Row],[Year]]</f>
        <v>September_2014</v>
      </c>
      <c r="W212" s="11" t="str">
        <f>tbl_financials[[#This Row],[Month_Name]] &amp; "_" &amp; (tbl_financials[[#This Row],[Year]]-1)</f>
        <v>September_2013</v>
      </c>
      <c r="X21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76.808378870673948</v>
      </c>
    </row>
    <row r="213" spans="1:24" x14ac:dyDescent="0.3">
      <c r="A213" t="s">
        <v>5</v>
      </c>
      <c r="B213" t="s">
        <v>14</v>
      </c>
      <c r="C213" t="s">
        <v>37</v>
      </c>
      <c r="D213" t="s">
        <v>39</v>
      </c>
      <c r="E213" s="9">
        <v>671</v>
      </c>
      <c r="F213" s="7">
        <v>260</v>
      </c>
      <c r="G213" s="7">
        <v>15</v>
      </c>
      <c r="H213" s="7">
        <v>10065</v>
      </c>
      <c r="I213" s="5">
        <v>402.6</v>
      </c>
      <c r="J213" s="5">
        <v>9662.4</v>
      </c>
      <c r="K213" s="7">
        <v>6710</v>
      </c>
      <c r="L213" s="5">
        <v>2952.3999999999901</v>
      </c>
      <c r="M213" s="1">
        <v>41548</v>
      </c>
      <c r="N213">
        <v>10</v>
      </c>
      <c r="O213" t="s">
        <v>27</v>
      </c>
      <c r="P213" t="s">
        <v>11</v>
      </c>
      <c r="Q213" s="5">
        <f>tbl_financials[[#This Row],[Net_Sales]]</f>
        <v>9662.4</v>
      </c>
      <c r="R213" s="5">
        <f>ROUND(tbl_financials[[#This Row],[Revenue]]*(0.12+MOD(ROW(),7)/100),2)</f>
        <v>1449.36</v>
      </c>
      <c r="S213" s="7">
        <f t="shared" si="3"/>
        <v>7603</v>
      </c>
      <c r="T213" s="5">
        <f>tbl_financials[[#This Row],[Gross_Profit]]-tbl_financials[[#This Row],[Operating_Expenses]]+tbl_financials[[#This Row],[Other_Income]]</f>
        <v>9106.03999999999</v>
      </c>
      <c r="U213" s="11">
        <f>IF(tbl_financials[[#This Row],[Revenue]]=0,0,tbl_financials[[#This Row],[Net_Profit]]/tbl_financials[[#This Row],[Revenue]])</f>
        <v>0.94242010266600329</v>
      </c>
      <c r="V213" s="11" t="str">
        <f>tbl_financials[[#This Row],[Month_Name]] &amp; "_" &amp; tbl_financials[[#This Row],[Year]]</f>
        <v>October_2013</v>
      </c>
      <c r="W213" s="11" t="str">
        <f>tbl_financials[[#This Row],[Month_Name]] &amp; "_" &amp; (tbl_financials[[#This Row],[Year]]-1)</f>
        <v>October_2012</v>
      </c>
      <c r="X21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14" spans="1:24" x14ac:dyDescent="0.3">
      <c r="A214" t="s">
        <v>7</v>
      </c>
      <c r="B214" t="s">
        <v>13</v>
      </c>
      <c r="C214" t="s">
        <v>37</v>
      </c>
      <c r="D214" t="s">
        <v>39</v>
      </c>
      <c r="E214" s="9">
        <v>1778</v>
      </c>
      <c r="F214" s="7">
        <v>260</v>
      </c>
      <c r="G214" s="7">
        <v>350</v>
      </c>
      <c r="H214" s="7">
        <v>622300</v>
      </c>
      <c r="I214" s="5">
        <v>24892</v>
      </c>
      <c r="J214" s="5">
        <v>597408</v>
      </c>
      <c r="K214" s="7">
        <v>462280</v>
      </c>
      <c r="L214" s="5">
        <v>135128</v>
      </c>
      <c r="M214" s="1">
        <v>41609</v>
      </c>
      <c r="N214">
        <v>12</v>
      </c>
      <c r="O214" t="s">
        <v>29</v>
      </c>
      <c r="P214" t="s">
        <v>11</v>
      </c>
      <c r="Q214" s="5">
        <f>tbl_financials[[#This Row],[Net_Sales]]</f>
        <v>597408</v>
      </c>
      <c r="R214" s="5">
        <f>ROUND(tbl_financials[[#This Row],[Revenue]]*(0.12+MOD(ROW(),7)/100),2)</f>
        <v>95585.279999999999</v>
      </c>
      <c r="S214" s="7">
        <f t="shared" si="3"/>
        <v>7634</v>
      </c>
      <c r="T214" s="5">
        <f>tbl_financials[[#This Row],[Gross_Profit]]-tbl_financials[[#This Row],[Operating_Expenses]]+tbl_financials[[#This Row],[Other_Income]]</f>
        <v>47176.72</v>
      </c>
      <c r="U214" s="11">
        <f>IF(tbl_financials[[#This Row],[Revenue]]=0,0,tbl_financials[[#This Row],[Net_Profit]]/tbl_financials[[#This Row],[Revenue]])</f>
        <v>7.8969012801971189E-2</v>
      </c>
      <c r="V214" s="11" t="str">
        <f>tbl_financials[[#This Row],[Month_Name]] &amp; "_" &amp; tbl_financials[[#This Row],[Year]]</f>
        <v>December_2013</v>
      </c>
      <c r="W214" s="11" t="str">
        <f>tbl_financials[[#This Row],[Month_Name]] &amp; "_" &amp; (tbl_financials[[#This Row],[Year]]-1)</f>
        <v>December_2012</v>
      </c>
      <c r="X21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15" spans="1:24" x14ac:dyDescent="0.3">
      <c r="A215" t="s">
        <v>7</v>
      </c>
      <c r="B215" t="s">
        <v>16</v>
      </c>
      <c r="C215" t="s">
        <v>33</v>
      </c>
      <c r="D215" t="s">
        <v>40</v>
      </c>
      <c r="E215" s="9">
        <v>1159</v>
      </c>
      <c r="F215" s="7">
        <v>5</v>
      </c>
      <c r="G215" s="7">
        <v>7</v>
      </c>
      <c r="H215" s="7">
        <v>8113</v>
      </c>
      <c r="I215" s="5">
        <v>405.65</v>
      </c>
      <c r="J215" s="5">
        <v>7707.35</v>
      </c>
      <c r="K215" s="7">
        <v>5795</v>
      </c>
      <c r="L215" s="5">
        <v>1912.35</v>
      </c>
      <c r="M215" s="1">
        <v>41548</v>
      </c>
      <c r="N215">
        <v>10</v>
      </c>
      <c r="O215" t="s">
        <v>27</v>
      </c>
      <c r="P215" t="s">
        <v>11</v>
      </c>
      <c r="Q215" s="5">
        <f>tbl_financials[[#This Row],[Net_Sales]]</f>
        <v>7707.35</v>
      </c>
      <c r="R215" s="5">
        <f>ROUND(tbl_financials[[#This Row],[Revenue]]*(0.12+MOD(ROW(),7)/100),2)</f>
        <v>1310.25</v>
      </c>
      <c r="S215" s="7">
        <f t="shared" si="3"/>
        <v>7665</v>
      </c>
      <c r="T215" s="5">
        <f>tbl_financials[[#This Row],[Gross_Profit]]-tbl_financials[[#This Row],[Operating_Expenses]]+tbl_financials[[#This Row],[Other_Income]]</f>
        <v>8267.1</v>
      </c>
      <c r="U215" s="11">
        <f>IF(tbl_financials[[#This Row],[Revenue]]=0,0,tbl_financials[[#This Row],[Net_Profit]]/tbl_financials[[#This Row],[Revenue]])</f>
        <v>1.0726254808721545</v>
      </c>
      <c r="V215" s="11" t="str">
        <f>tbl_financials[[#This Row],[Month_Name]] &amp; "_" &amp; tbl_financials[[#This Row],[Year]]</f>
        <v>October_2013</v>
      </c>
      <c r="W215" s="11" t="str">
        <f>tbl_financials[[#This Row],[Month_Name]] &amp; "_" &amp; (tbl_financials[[#This Row],[Year]]-1)</f>
        <v>October_2012</v>
      </c>
      <c r="X21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16" spans="1:24" x14ac:dyDescent="0.3">
      <c r="A216" t="s">
        <v>7</v>
      </c>
      <c r="B216" t="s">
        <v>16</v>
      </c>
      <c r="C216" t="s">
        <v>34</v>
      </c>
      <c r="D216" t="s">
        <v>40</v>
      </c>
      <c r="E216" s="9">
        <v>1372</v>
      </c>
      <c r="F216" s="7">
        <v>10</v>
      </c>
      <c r="G216" s="7">
        <v>7</v>
      </c>
      <c r="H216" s="7">
        <v>9604</v>
      </c>
      <c r="I216" s="5">
        <v>480.2</v>
      </c>
      <c r="J216" s="5">
        <v>9123.7999999999993</v>
      </c>
      <c r="K216" s="7">
        <v>6860</v>
      </c>
      <c r="L216" s="5">
        <v>2263.7999999999902</v>
      </c>
      <c r="M216" s="1">
        <v>41640</v>
      </c>
      <c r="N216">
        <v>1</v>
      </c>
      <c r="O216" t="s">
        <v>18</v>
      </c>
      <c r="P216" t="s">
        <v>12</v>
      </c>
      <c r="Q216" s="5">
        <f>tbl_financials[[#This Row],[Net_Sales]]</f>
        <v>9123.7999999999993</v>
      </c>
      <c r="R216" s="5">
        <f>ROUND(tbl_financials[[#This Row],[Revenue]]*(0.12+MOD(ROW(),7)/100),2)</f>
        <v>1642.28</v>
      </c>
      <c r="S216" s="7">
        <f t="shared" si="3"/>
        <v>7696</v>
      </c>
      <c r="T216" s="5">
        <f>tbl_financials[[#This Row],[Gross_Profit]]-tbl_financials[[#This Row],[Operating_Expenses]]+tbl_financials[[#This Row],[Other_Income]]</f>
        <v>8317.5199999999895</v>
      </c>
      <c r="U216" s="11">
        <f>IF(tbl_financials[[#This Row],[Revenue]]=0,0,tbl_financials[[#This Row],[Net_Profit]]/tbl_financials[[#This Row],[Revenue]])</f>
        <v>0.9116289265437636</v>
      </c>
      <c r="V216" s="11" t="str">
        <f>tbl_financials[[#This Row],[Month_Name]] &amp; "_" &amp; tbl_financials[[#This Row],[Year]]</f>
        <v>January_2014</v>
      </c>
      <c r="W216" s="11" t="str">
        <f>tbl_financials[[#This Row],[Month_Name]] &amp; "_" &amp; (tbl_financials[[#This Row],[Year]]-1)</f>
        <v>January_2013</v>
      </c>
      <c r="X21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17" spans="1:24" x14ac:dyDescent="0.3">
      <c r="A217" t="s">
        <v>7</v>
      </c>
      <c r="B217" t="s">
        <v>13</v>
      </c>
      <c r="C217" t="s">
        <v>34</v>
      </c>
      <c r="D217" t="s">
        <v>40</v>
      </c>
      <c r="E217" s="9">
        <v>2349</v>
      </c>
      <c r="F217" s="7">
        <v>10</v>
      </c>
      <c r="G217" s="7">
        <v>7</v>
      </c>
      <c r="H217" s="7">
        <v>16443</v>
      </c>
      <c r="I217" s="5">
        <v>822.15</v>
      </c>
      <c r="J217" s="5">
        <v>15620.85</v>
      </c>
      <c r="K217" s="7">
        <v>11745</v>
      </c>
      <c r="L217" s="5">
        <v>3875.85</v>
      </c>
      <c r="M217" s="1">
        <v>41518</v>
      </c>
      <c r="N217">
        <v>9</v>
      </c>
      <c r="O217" t="s">
        <v>26</v>
      </c>
      <c r="P217" t="s">
        <v>11</v>
      </c>
      <c r="Q217" s="5">
        <f>tbl_financials[[#This Row],[Net_Sales]]</f>
        <v>15620.85</v>
      </c>
      <c r="R217" s="5">
        <f>ROUND(tbl_financials[[#This Row],[Revenue]]*(0.12+MOD(ROW(),7)/100),2)</f>
        <v>1874.5</v>
      </c>
      <c r="S217" s="7">
        <f t="shared" si="3"/>
        <v>7727</v>
      </c>
      <c r="T217" s="5">
        <f>tbl_financials[[#This Row],[Gross_Profit]]-tbl_financials[[#This Row],[Operating_Expenses]]+tbl_financials[[#This Row],[Other_Income]]</f>
        <v>9728.35</v>
      </c>
      <c r="U217" s="11">
        <f>IF(tbl_financials[[#This Row],[Revenue]]=0,0,tbl_financials[[#This Row],[Net_Profit]]/tbl_financials[[#This Row],[Revenue]])</f>
        <v>0.62277981031762042</v>
      </c>
      <c r="V217" s="11" t="str">
        <f>tbl_financials[[#This Row],[Month_Name]] &amp; "_" &amp; tbl_financials[[#This Row],[Year]]</f>
        <v>September_2013</v>
      </c>
      <c r="W217" s="11" t="str">
        <f>tbl_financials[[#This Row],[Month_Name]] &amp; "_" &amp; (tbl_financials[[#This Row],[Year]]-1)</f>
        <v>September_2012</v>
      </c>
      <c r="X21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18" spans="1:24" x14ac:dyDescent="0.3">
      <c r="A218" t="s">
        <v>7</v>
      </c>
      <c r="B218" t="s">
        <v>17</v>
      </c>
      <c r="C218" t="s">
        <v>34</v>
      </c>
      <c r="D218" t="s">
        <v>40</v>
      </c>
      <c r="E218" s="9">
        <v>2689</v>
      </c>
      <c r="F218" s="7">
        <v>10</v>
      </c>
      <c r="G218" s="7">
        <v>7</v>
      </c>
      <c r="H218" s="7">
        <v>18823</v>
      </c>
      <c r="I218" s="5">
        <v>941.15</v>
      </c>
      <c r="J218" s="5">
        <v>17881.849999999999</v>
      </c>
      <c r="K218" s="7">
        <v>13445</v>
      </c>
      <c r="L218" s="5">
        <v>4436.8499999999904</v>
      </c>
      <c r="M218" s="1">
        <v>41913</v>
      </c>
      <c r="N218">
        <v>10</v>
      </c>
      <c r="O218" t="s">
        <v>27</v>
      </c>
      <c r="P218" t="s">
        <v>12</v>
      </c>
      <c r="Q218" s="5">
        <f>tbl_financials[[#This Row],[Net_Sales]]</f>
        <v>17881.849999999999</v>
      </c>
      <c r="R218" s="5">
        <f>ROUND(tbl_financials[[#This Row],[Revenue]]*(0.12+MOD(ROW(),7)/100),2)</f>
        <v>2324.64</v>
      </c>
      <c r="S218" s="7">
        <f t="shared" si="3"/>
        <v>7758</v>
      </c>
      <c r="T218" s="5">
        <f>tbl_financials[[#This Row],[Gross_Profit]]-tbl_financials[[#This Row],[Operating_Expenses]]+tbl_financials[[#This Row],[Other_Income]]</f>
        <v>9870.20999999999</v>
      </c>
      <c r="U218" s="11">
        <f>IF(tbl_financials[[#This Row],[Revenue]]=0,0,tbl_financials[[#This Row],[Net_Profit]]/tbl_financials[[#This Row],[Revenue]])</f>
        <v>0.55196805699633933</v>
      </c>
      <c r="V218" s="11" t="str">
        <f>tbl_financials[[#This Row],[Month_Name]] &amp; "_" &amp; tbl_financials[[#This Row],[Year]]</f>
        <v>October_2014</v>
      </c>
      <c r="W218" s="11" t="str">
        <f>tbl_financials[[#This Row],[Month_Name]] &amp; "_" &amp; (tbl_financials[[#This Row],[Year]]-1)</f>
        <v>October_2013</v>
      </c>
      <c r="X21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-0.58534840579710146</v>
      </c>
    </row>
    <row r="219" spans="1:24" x14ac:dyDescent="0.3">
      <c r="A219" t="s">
        <v>8</v>
      </c>
      <c r="B219" t="s">
        <v>13</v>
      </c>
      <c r="C219" t="s">
        <v>34</v>
      </c>
      <c r="D219" t="s">
        <v>40</v>
      </c>
      <c r="E219" s="9">
        <v>2431</v>
      </c>
      <c r="F219" s="7">
        <v>10</v>
      </c>
      <c r="G219" s="7">
        <v>12</v>
      </c>
      <c r="H219" s="7">
        <v>29172</v>
      </c>
      <c r="I219" s="5">
        <v>1458.6</v>
      </c>
      <c r="J219" s="5">
        <v>27713.4</v>
      </c>
      <c r="K219" s="7">
        <v>7293</v>
      </c>
      <c r="L219" s="5">
        <v>20420.400000000001</v>
      </c>
      <c r="M219" s="1">
        <v>41974</v>
      </c>
      <c r="N219">
        <v>12</v>
      </c>
      <c r="O219" t="s">
        <v>29</v>
      </c>
      <c r="P219" t="s">
        <v>12</v>
      </c>
      <c r="Q219" s="5">
        <f>tbl_financials[[#This Row],[Net_Sales]]</f>
        <v>27713.4</v>
      </c>
      <c r="R219" s="5">
        <f>ROUND(tbl_financials[[#This Row],[Revenue]]*(0.12+MOD(ROW(),7)/100),2)</f>
        <v>3879.88</v>
      </c>
      <c r="S219" s="7">
        <f t="shared" si="3"/>
        <v>7789</v>
      </c>
      <c r="T219" s="5">
        <f>tbl_financials[[#This Row],[Gross_Profit]]-tbl_financials[[#This Row],[Operating_Expenses]]+tbl_financials[[#This Row],[Other_Income]]</f>
        <v>24329.52</v>
      </c>
      <c r="U219" s="11">
        <f>IF(tbl_financials[[#This Row],[Revenue]]=0,0,tbl_financials[[#This Row],[Net_Profit]]/tbl_financials[[#This Row],[Revenue]])</f>
        <v>0.87789733486327914</v>
      </c>
      <c r="V219" s="11" t="str">
        <f>tbl_financials[[#This Row],[Month_Name]] &amp; "_" &amp; tbl_financials[[#This Row],[Year]]</f>
        <v>December_2014</v>
      </c>
      <c r="W219" s="11" t="str">
        <f>tbl_financials[[#This Row],[Month_Name]] &amp; "_" &amp; (tbl_financials[[#This Row],[Year]]-1)</f>
        <v>December_2013</v>
      </c>
      <c r="X21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-0.1414684014869888</v>
      </c>
    </row>
    <row r="220" spans="1:24" x14ac:dyDescent="0.3">
      <c r="A220" t="s">
        <v>8</v>
      </c>
      <c r="B220" t="s">
        <v>13</v>
      </c>
      <c r="C220" t="s">
        <v>35</v>
      </c>
      <c r="D220" t="s">
        <v>40</v>
      </c>
      <c r="E220" s="9">
        <v>2431</v>
      </c>
      <c r="F220" s="7">
        <v>120</v>
      </c>
      <c r="G220" s="7">
        <v>12</v>
      </c>
      <c r="H220" s="7">
        <v>29172</v>
      </c>
      <c r="I220" s="5">
        <v>1458.6</v>
      </c>
      <c r="J220" s="5">
        <v>27713.4</v>
      </c>
      <c r="K220" s="7">
        <v>7293</v>
      </c>
      <c r="L220" s="5">
        <v>20420.400000000001</v>
      </c>
      <c r="M220" s="1">
        <v>41974</v>
      </c>
      <c r="N220">
        <v>12</v>
      </c>
      <c r="O220" t="s">
        <v>29</v>
      </c>
      <c r="P220" t="s">
        <v>12</v>
      </c>
      <c r="Q220" s="5">
        <f>tbl_financials[[#This Row],[Net_Sales]]</f>
        <v>27713.4</v>
      </c>
      <c r="R220" s="5">
        <f>ROUND(tbl_financials[[#This Row],[Revenue]]*(0.12+MOD(ROW(),7)/100),2)</f>
        <v>4157.01</v>
      </c>
      <c r="S220" s="7">
        <f t="shared" si="3"/>
        <v>7820</v>
      </c>
      <c r="T220" s="5">
        <f>tbl_financials[[#This Row],[Gross_Profit]]-tbl_financials[[#This Row],[Operating_Expenses]]+tbl_financials[[#This Row],[Other_Income]]</f>
        <v>24083.39</v>
      </c>
      <c r="U220" s="11">
        <f>IF(tbl_financials[[#This Row],[Revenue]]=0,0,tbl_financials[[#This Row],[Net_Profit]]/tbl_financials[[#This Row],[Revenue]])</f>
        <v>0.86901607164765049</v>
      </c>
      <c r="V220" s="11" t="str">
        <f>tbl_financials[[#This Row],[Month_Name]] &amp; "_" &amp; tbl_financials[[#This Row],[Year]]</f>
        <v>December_2014</v>
      </c>
      <c r="W220" s="11" t="str">
        <f>tbl_financials[[#This Row],[Month_Name]] &amp; "_" &amp; (tbl_financials[[#This Row],[Year]]-1)</f>
        <v>December_2013</v>
      </c>
      <c r="X22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-0.1414684014869888</v>
      </c>
    </row>
    <row r="221" spans="1:24" x14ac:dyDescent="0.3">
      <c r="A221" t="s">
        <v>7</v>
      </c>
      <c r="B221" t="s">
        <v>17</v>
      </c>
      <c r="C221" t="s">
        <v>36</v>
      </c>
      <c r="D221" t="s">
        <v>40</v>
      </c>
      <c r="E221" s="9">
        <v>2689</v>
      </c>
      <c r="F221" s="7">
        <v>250</v>
      </c>
      <c r="G221" s="7">
        <v>7</v>
      </c>
      <c r="H221" s="7">
        <v>18823</v>
      </c>
      <c r="I221" s="5">
        <v>941.15</v>
      </c>
      <c r="J221" s="5">
        <v>17881.849999999999</v>
      </c>
      <c r="K221" s="7">
        <v>13445</v>
      </c>
      <c r="L221" s="5">
        <v>4436.8499999999904</v>
      </c>
      <c r="M221" s="1">
        <v>41913</v>
      </c>
      <c r="N221">
        <v>10</v>
      </c>
      <c r="O221" t="s">
        <v>27</v>
      </c>
      <c r="P221" t="s">
        <v>12</v>
      </c>
      <c r="Q221" s="5">
        <f>tbl_financials[[#This Row],[Net_Sales]]</f>
        <v>17881.849999999999</v>
      </c>
      <c r="R221" s="5">
        <f>ROUND(tbl_financials[[#This Row],[Revenue]]*(0.12+MOD(ROW(),7)/100),2)</f>
        <v>2861.1</v>
      </c>
      <c r="S221" s="7">
        <f t="shared" si="3"/>
        <v>7851</v>
      </c>
      <c r="T221" s="5">
        <f>tbl_financials[[#This Row],[Gross_Profit]]-tbl_financials[[#This Row],[Operating_Expenses]]+tbl_financials[[#This Row],[Other_Income]]</f>
        <v>9426.7499999999909</v>
      </c>
      <c r="U221" s="11">
        <f>IF(tbl_financials[[#This Row],[Revenue]]=0,0,tbl_financials[[#This Row],[Net_Profit]]/tbl_financials[[#This Row],[Revenue]])</f>
        <v>0.52716860951187894</v>
      </c>
      <c r="V221" s="11" t="str">
        <f>tbl_financials[[#This Row],[Month_Name]] &amp; "_" &amp; tbl_financials[[#This Row],[Year]]</f>
        <v>October_2014</v>
      </c>
      <c r="W221" s="11" t="str">
        <f>tbl_financials[[#This Row],[Month_Name]] &amp; "_" &amp; (tbl_financials[[#This Row],[Year]]-1)</f>
        <v>October_2013</v>
      </c>
      <c r="X22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-0.58534840579710146</v>
      </c>
    </row>
    <row r="222" spans="1:24" x14ac:dyDescent="0.3">
      <c r="A222" t="s">
        <v>7</v>
      </c>
      <c r="B222" t="s">
        <v>17</v>
      </c>
      <c r="C222" t="s">
        <v>37</v>
      </c>
      <c r="D222" t="s">
        <v>40</v>
      </c>
      <c r="E222" s="9">
        <v>1683</v>
      </c>
      <c r="F222" s="7">
        <v>260</v>
      </c>
      <c r="G222" s="7">
        <v>7</v>
      </c>
      <c r="H222" s="7">
        <v>11781</v>
      </c>
      <c r="I222" s="5">
        <v>589.04999999999995</v>
      </c>
      <c r="J222" s="5">
        <v>11191.95</v>
      </c>
      <c r="K222" s="7">
        <v>8415</v>
      </c>
      <c r="L222" s="5">
        <v>2776.95</v>
      </c>
      <c r="M222" s="1">
        <v>41821</v>
      </c>
      <c r="N222">
        <v>7</v>
      </c>
      <c r="O222" t="s">
        <v>24</v>
      </c>
      <c r="P222" t="s">
        <v>12</v>
      </c>
      <c r="Q222" s="5">
        <f>tbl_financials[[#This Row],[Net_Sales]]</f>
        <v>11191.95</v>
      </c>
      <c r="R222" s="5">
        <f>ROUND(tbl_financials[[#This Row],[Revenue]]*(0.12+MOD(ROW(),7)/100),2)</f>
        <v>1902.63</v>
      </c>
      <c r="S222" s="7">
        <f t="shared" si="3"/>
        <v>7882</v>
      </c>
      <c r="T222" s="5">
        <f>tbl_financials[[#This Row],[Gross_Profit]]-tbl_financials[[#This Row],[Operating_Expenses]]+tbl_financials[[#This Row],[Other_Income]]</f>
        <v>8756.32</v>
      </c>
      <c r="U222" s="11">
        <f>IF(tbl_financials[[#This Row],[Revenue]]=0,0,tbl_financials[[#This Row],[Net_Profit]]/tbl_financials[[#This Row],[Revenue]])</f>
        <v>0.78237661890912658</v>
      </c>
      <c r="V222" s="11" t="str">
        <f>tbl_financials[[#This Row],[Month_Name]] &amp; "_" &amp; tbl_financials[[#This Row],[Year]]</f>
        <v>July_2014</v>
      </c>
      <c r="W222" s="11" t="str">
        <f>tbl_financials[[#This Row],[Month_Name]] &amp; "_" &amp; (tbl_financials[[#This Row],[Year]]-1)</f>
        <v>July_2013</v>
      </c>
      <c r="X22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23" spans="1:24" x14ac:dyDescent="0.3">
      <c r="A223" t="s">
        <v>8</v>
      </c>
      <c r="B223" t="s">
        <v>17</v>
      </c>
      <c r="C223" t="s">
        <v>37</v>
      </c>
      <c r="D223" t="s">
        <v>40</v>
      </c>
      <c r="E223" s="9">
        <v>1123</v>
      </c>
      <c r="F223" s="7">
        <v>260</v>
      </c>
      <c r="G223" s="7">
        <v>12</v>
      </c>
      <c r="H223" s="7">
        <v>13476</v>
      </c>
      <c r="I223" s="5">
        <v>673.8</v>
      </c>
      <c r="J223" s="5">
        <v>12802.2</v>
      </c>
      <c r="K223" s="7">
        <v>3369</v>
      </c>
      <c r="L223" s="5">
        <v>9433.2000000000007</v>
      </c>
      <c r="M223" s="1">
        <v>41852</v>
      </c>
      <c r="N223">
        <v>8</v>
      </c>
      <c r="O223" t="s">
        <v>25</v>
      </c>
      <c r="P223" t="s">
        <v>12</v>
      </c>
      <c r="Q223" s="5">
        <f>tbl_financials[[#This Row],[Net_Sales]]</f>
        <v>12802.2</v>
      </c>
      <c r="R223" s="5">
        <f>ROUND(tbl_financials[[#This Row],[Revenue]]*(0.12+MOD(ROW(),7)/100),2)</f>
        <v>2304.4</v>
      </c>
      <c r="S223" s="7">
        <f t="shared" si="3"/>
        <v>7913</v>
      </c>
      <c r="T223" s="5">
        <f>tbl_financials[[#This Row],[Gross_Profit]]-tbl_financials[[#This Row],[Operating_Expenses]]+tbl_financials[[#This Row],[Other_Income]]</f>
        <v>15041.800000000001</v>
      </c>
      <c r="U223" s="11">
        <f>IF(tbl_financials[[#This Row],[Revenue]]=0,0,tbl_financials[[#This Row],[Net_Profit]]/tbl_financials[[#This Row],[Revenue]])</f>
        <v>1.17493868241396</v>
      </c>
      <c r="V223" s="11" t="str">
        <f>tbl_financials[[#This Row],[Month_Name]] &amp; "_" &amp; tbl_financials[[#This Row],[Year]]</f>
        <v>August_2014</v>
      </c>
      <c r="W223" s="11" t="str">
        <f>tbl_financials[[#This Row],[Month_Name]] &amp; "_" &amp; (tbl_financials[[#This Row],[Year]]-1)</f>
        <v>August_2013</v>
      </c>
      <c r="X22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24" spans="1:24" x14ac:dyDescent="0.3">
      <c r="A224" t="s">
        <v>7</v>
      </c>
      <c r="B224" t="s">
        <v>16</v>
      </c>
      <c r="C224" t="s">
        <v>37</v>
      </c>
      <c r="D224" t="s">
        <v>40</v>
      </c>
      <c r="E224" s="9">
        <v>1159</v>
      </c>
      <c r="F224" s="7">
        <v>260</v>
      </c>
      <c r="G224" s="7">
        <v>7</v>
      </c>
      <c r="H224" s="7">
        <v>8113</v>
      </c>
      <c r="I224" s="5">
        <v>405.65</v>
      </c>
      <c r="J224" s="5">
        <v>7707.35</v>
      </c>
      <c r="K224" s="7">
        <v>5795</v>
      </c>
      <c r="L224" s="5">
        <v>1912.35</v>
      </c>
      <c r="M224" s="1">
        <v>41548</v>
      </c>
      <c r="N224">
        <v>10</v>
      </c>
      <c r="O224" t="s">
        <v>27</v>
      </c>
      <c r="P224" t="s">
        <v>11</v>
      </c>
      <c r="Q224" s="5">
        <f>tbl_financials[[#This Row],[Net_Sales]]</f>
        <v>7707.35</v>
      </c>
      <c r="R224" s="5">
        <f>ROUND(tbl_financials[[#This Row],[Revenue]]*(0.12+MOD(ROW(),7)/100),2)</f>
        <v>924.88</v>
      </c>
      <c r="S224" s="7">
        <f t="shared" si="3"/>
        <v>7944</v>
      </c>
      <c r="T224" s="5">
        <f>tbl_financials[[#This Row],[Gross_Profit]]-tbl_financials[[#This Row],[Operating_Expenses]]+tbl_financials[[#This Row],[Other_Income]]</f>
        <v>8931.4699999999993</v>
      </c>
      <c r="U224" s="11">
        <f>IF(tbl_financials[[#This Row],[Revenue]]=0,0,tbl_financials[[#This Row],[Net_Profit]]/tbl_financials[[#This Row],[Revenue]])</f>
        <v>1.1588250176779307</v>
      </c>
      <c r="V224" s="11" t="str">
        <f>tbl_financials[[#This Row],[Month_Name]] &amp; "_" &amp; tbl_financials[[#This Row],[Year]]</f>
        <v>October_2013</v>
      </c>
      <c r="W224" s="11" t="str">
        <f>tbl_financials[[#This Row],[Month_Name]] &amp; "_" &amp; (tbl_financials[[#This Row],[Year]]-1)</f>
        <v>October_2012</v>
      </c>
      <c r="X22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25" spans="1:24" x14ac:dyDescent="0.3">
      <c r="A225" t="s">
        <v>8</v>
      </c>
      <c r="B225" t="s">
        <v>15</v>
      </c>
      <c r="C225" t="s">
        <v>32</v>
      </c>
      <c r="D225" t="s">
        <v>40</v>
      </c>
      <c r="E225" s="9">
        <v>1865</v>
      </c>
      <c r="F225" s="7">
        <v>3</v>
      </c>
      <c r="G225" s="7">
        <v>12</v>
      </c>
      <c r="H225" s="7">
        <v>22380</v>
      </c>
      <c r="I225" s="5">
        <v>1119</v>
      </c>
      <c r="J225" s="5">
        <v>21261</v>
      </c>
      <c r="K225" s="7">
        <v>5595</v>
      </c>
      <c r="L225" s="5">
        <v>15666</v>
      </c>
      <c r="M225" s="1">
        <v>41671</v>
      </c>
      <c r="N225">
        <v>2</v>
      </c>
      <c r="O225" t="s">
        <v>19</v>
      </c>
      <c r="P225" t="s">
        <v>12</v>
      </c>
      <c r="Q225" s="5">
        <f>tbl_financials[[#This Row],[Net_Sales]]</f>
        <v>21261</v>
      </c>
      <c r="R225" s="5">
        <f>ROUND(tbl_financials[[#This Row],[Revenue]]*(0.12+MOD(ROW(),7)/100),2)</f>
        <v>2763.93</v>
      </c>
      <c r="S225" s="7">
        <f t="shared" si="3"/>
        <v>7975</v>
      </c>
      <c r="T225" s="5">
        <f>tbl_financials[[#This Row],[Gross_Profit]]-tbl_financials[[#This Row],[Operating_Expenses]]+tbl_financials[[#This Row],[Other_Income]]</f>
        <v>20877.07</v>
      </c>
      <c r="U225" s="11">
        <f>IF(tbl_financials[[#This Row],[Revenue]]=0,0,tbl_financials[[#This Row],[Net_Profit]]/tbl_financials[[#This Row],[Revenue]])</f>
        <v>0.981942053525234</v>
      </c>
      <c r="V225" s="11" t="str">
        <f>tbl_financials[[#This Row],[Month_Name]] &amp; "_" &amp; tbl_financials[[#This Row],[Year]]</f>
        <v>February_2014</v>
      </c>
      <c r="W225" s="11" t="str">
        <f>tbl_financials[[#This Row],[Month_Name]] &amp; "_" &amp; (tbl_financials[[#This Row],[Year]]-1)</f>
        <v>February_2013</v>
      </c>
      <c r="X22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26" spans="1:24" x14ac:dyDescent="0.3">
      <c r="A226" t="s">
        <v>8</v>
      </c>
      <c r="B226" t="s">
        <v>16</v>
      </c>
      <c r="C226" t="s">
        <v>32</v>
      </c>
      <c r="D226" t="s">
        <v>40</v>
      </c>
      <c r="E226" s="9">
        <v>1116</v>
      </c>
      <c r="F226" s="7">
        <v>3</v>
      </c>
      <c r="G226" s="7">
        <v>12</v>
      </c>
      <c r="H226" s="7">
        <v>13392</v>
      </c>
      <c r="I226" s="5">
        <v>669.6</v>
      </c>
      <c r="J226" s="5">
        <v>12722.4</v>
      </c>
      <c r="K226" s="7">
        <v>3348</v>
      </c>
      <c r="L226" s="5">
        <v>9374.4</v>
      </c>
      <c r="M226" s="1">
        <v>41671</v>
      </c>
      <c r="N226">
        <v>2</v>
      </c>
      <c r="O226" t="s">
        <v>19</v>
      </c>
      <c r="P226" t="s">
        <v>12</v>
      </c>
      <c r="Q226" s="5">
        <f>tbl_financials[[#This Row],[Net_Sales]]</f>
        <v>12722.4</v>
      </c>
      <c r="R226" s="5">
        <f>ROUND(tbl_financials[[#This Row],[Revenue]]*(0.12+MOD(ROW(),7)/100),2)</f>
        <v>1781.14</v>
      </c>
      <c r="S226" s="7">
        <f t="shared" si="3"/>
        <v>8006</v>
      </c>
      <c r="T226" s="5">
        <f>tbl_financials[[#This Row],[Gross_Profit]]-tbl_financials[[#This Row],[Operating_Expenses]]+tbl_financials[[#This Row],[Other_Income]]</f>
        <v>15599.259999999998</v>
      </c>
      <c r="U226" s="11">
        <f>IF(tbl_financials[[#This Row],[Revenue]]=0,0,tbl_financials[[#This Row],[Net_Profit]]/tbl_financials[[#This Row],[Revenue]])</f>
        <v>1.2261255737911085</v>
      </c>
      <c r="V226" s="11" t="str">
        <f>tbl_financials[[#This Row],[Month_Name]] &amp; "_" &amp; tbl_financials[[#This Row],[Year]]</f>
        <v>February_2014</v>
      </c>
      <c r="W226" s="11" t="str">
        <f>tbl_financials[[#This Row],[Month_Name]] &amp; "_" &amp; (tbl_financials[[#This Row],[Year]]-1)</f>
        <v>February_2013</v>
      </c>
      <c r="X22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27" spans="1:24" x14ac:dyDescent="0.3">
      <c r="A227" t="s">
        <v>7</v>
      </c>
      <c r="B227" t="s">
        <v>15</v>
      </c>
      <c r="C227" t="s">
        <v>32</v>
      </c>
      <c r="D227" t="s">
        <v>40</v>
      </c>
      <c r="E227" s="9">
        <v>1563</v>
      </c>
      <c r="F227" s="7">
        <v>3</v>
      </c>
      <c r="G227" s="7">
        <v>20</v>
      </c>
      <c r="H227" s="7">
        <v>31260</v>
      </c>
      <c r="I227" s="5">
        <v>1563</v>
      </c>
      <c r="J227" s="5">
        <v>29697</v>
      </c>
      <c r="K227" s="7">
        <v>15630</v>
      </c>
      <c r="L227" s="5">
        <v>14067</v>
      </c>
      <c r="M227" s="1">
        <v>41760</v>
      </c>
      <c r="N227">
        <v>5</v>
      </c>
      <c r="O227" t="s">
        <v>22</v>
      </c>
      <c r="P227" t="s">
        <v>12</v>
      </c>
      <c r="Q227" s="5">
        <f>tbl_financials[[#This Row],[Net_Sales]]</f>
        <v>29697</v>
      </c>
      <c r="R227" s="5">
        <f>ROUND(tbl_financials[[#This Row],[Revenue]]*(0.12+MOD(ROW(),7)/100),2)</f>
        <v>4454.55</v>
      </c>
      <c r="S227" s="7">
        <f t="shared" si="3"/>
        <v>8037</v>
      </c>
      <c r="T227" s="5">
        <f>tbl_financials[[#This Row],[Gross_Profit]]-tbl_financials[[#This Row],[Operating_Expenses]]+tbl_financials[[#This Row],[Other_Income]]</f>
        <v>17649.45</v>
      </c>
      <c r="U227" s="11">
        <f>IF(tbl_financials[[#This Row],[Revenue]]=0,0,tbl_financials[[#This Row],[Net_Profit]]/tbl_financials[[#This Row],[Revenue]])</f>
        <v>0.59431760783917564</v>
      </c>
      <c r="V227" s="11" t="str">
        <f>tbl_financials[[#This Row],[Month_Name]] &amp; "_" &amp; tbl_financials[[#This Row],[Year]]</f>
        <v>May_2014</v>
      </c>
      <c r="W227" s="11" t="str">
        <f>tbl_financials[[#This Row],[Month_Name]] &amp; "_" &amp; (tbl_financials[[#This Row],[Year]]-1)</f>
        <v>May_2013</v>
      </c>
      <c r="X22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28" spans="1:24" x14ac:dyDescent="0.3">
      <c r="A228" t="s">
        <v>4</v>
      </c>
      <c r="B228" t="s">
        <v>14</v>
      </c>
      <c r="C228" t="s">
        <v>32</v>
      </c>
      <c r="D228" t="s">
        <v>40</v>
      </c>
      <c r="E228" s="9">
        <v>991</v>
      </c>
      <c r="F228" s="7">
        <v>3</v>
      </c>
      <c r="G228" s="7">
        <v>300</v>
      </c>
      <c r="H228" s="7">
        <v>297300</v>
      </c>
      <c r="I228" s="5">
        <v>14865</v>
      </c>
      <c r="J228" s="5">
        <v>282435</v>
      </c>
      <c r="K228" s="7">
        <v>247750</v>
      </c>
      <c r="L228" s="5">
        <v>34685</v>
      </c>
      <c r="M228" s="1">
        <v>41791</v>
      </c>
      <c r="N228">
        <v>6</v>
      </c>
      <c r="O228" t="s">
        <v>23</v>
      </c>
      <c r="P228" t="s">
        <v>12</v>
      </c>
      <c r="Q228" s="5">
        <f>tbl_financials[[#This Row],[Net_Sales]]</f>
        <v>282435</v>
      </c>
      <c r="R228" s="5">
        <f>ROUND(tbl_financials[[#This Row],[Revenue]]*(0.12+MOD(ROW(),7)/100),2)</f>
        <v>45189.599999999999</v>
      </c>
      <c r="S228" s="7">
        <f t="shared" si="3"/>
        <v>8068</v>
      </c>
      <c r="T228" s="5">
        <f>tbl_financials[[#This Row],[Gross_Profit]]-tbl_financials[[#This Row],[Operating_Expenses]]+tbl_financials[[#This Row],[Other_Income]]</f>
        <v>-2436.5999999999985</v>
      </c>
      <c r="U228" s="11">
        <f>IF(tbl_financials[[#This Row],[Revenue]]=0,0,tbl_financials[[#This Row],[Net_Profit]]/tbl_financials[[#This Row],[Revenue]])</f>
        <v>-8.6271177439056716E-3</v>
      </c>
      <c r="V228" s="11" t="str">
        <f>tbl_financials[[#This Row],[Month_Name]] &amp; "_" &amp; tbl_financials[[#This Row],[Year]]</f>
        <v>June_2014</v>
      </c>
      <c r="W228" s="11" t="str">
        <f>tbl_financials[[#This Row],[Month_Name]] &amp; "_" &amp; (tbl_financials[[#This Row],[Year]]-1)</f>
        <v>June_2013</v>
      </c>
      <c r="X22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29" spans="1:24" x14ac:dyDescent="0.3">
      <c r="A229" t="s">
        <v>7</v>
      </c>
      <c r="B229" t="s">
        <v>16</v>
      </c>
      <c r="C229" t="s">
        <v>32</v>
      </c>
      <c r="D229" t="s">
        <v>40</v>
      </c>
      <c r="E229" s="9">
        <v>1016</v>
      </c>
      <c r="F229" s="7">
        <v>3</v>
      </c>
      <c r="G229" s="7">
        <v>7</v>
      </c>
      <c r="H229" s="7">
        <v>7112</v>
      </c>
      <c r="I229" s="5">
        <v>355.6</v>
      </c>
      <c r="J229" s="5">
        <v>6756.4</v>
      </c>
      <c r="K229" s="7">
        <v>5080</v>
      </c>
      <c r="L229" s="5">
        <v>1676.3999999999901</v>
      </c>
      <c r="M229" s="1">
        <v>41579</v>
      </c>
      <c r="N229">
        <v>11</v>
      </c>
      <c r="O229" t="s">
        <v>28</v>
      </c>
      <c r="P229" t="s">
        <v>11</v>
      </c>
      <c r="Q229" s="5">
        <f>tbl_financials[[#This Row],[Net_Sales]]</f>
        <v>6756.4</v>
      </c>
      <c r="R229" s="5">
        <f>ROUND(tbl_financials[[#This Row],[Revenue]]*(0.12+MOD(ROW(),7)/100),2)</f>
        <v>1148.5899999999999</v>
      </c>
      <c r="S229" s="7">
        <f t="shared" si="3"/>
        <v>8099</v>
      </c>
      <c r="T229" s="5">
        <f>tbl_financials[[#This Row],[Gross_Profit]]-tbl_financials[[#This Row],[Operating_Expenses]]+tbl_financials[[#This Row],[Other_Income]]</f>
        <v>8626.8099999999904</v>
      </c>
      <c r="U229" s="11">
        <f>IF(tbl_financials[[#This Row],[Revenue]]=0,0,tbl_financials[[#This Row],[Net_Profit]]/tbl_financials[[#This Row],[Revenue]])</f>
        <v>1.2768352969036751</v>
      </c>
      <c r="V229" s="11" t="str">
        <f>tbl_financials[[#This Row],[Month_Name]] &amp; "_" &amp; tbl_financials[[#This Row],[Year]]</f>
        <v>November_2013</v>
      </c>
      <c r="W229" s="11" t="str">
        <f>tbl_financials[[#This Row],[Month_Name]] &amp; "_" &amp; (tbl_financials[[#This Row],[Year]]-1)</f>
        <v>November_2012</v>
      </c>
      <c r="X22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30" spans="1:24" x14ac:dyDescent="0.3">
      <c r="A230" t="s">
        <v>5</v>
      </c>
      <c r="B230" t="s">
        <v>17</v>
      </c>
      <c r="C230" t="s">
        <v>32</v>
      </c>
      <c r="D230" t="s">
        <v>40</v>
      </c>
      <c r="E230" s="9">
        <v>2791</v>
      </c>
      <c r="F230" s="7">
        <v>3</v>
      </c>
      <c r="G230" s="7">
        <v>15</v>
      </c>
      <c r="H230" s="7">
        <v>41865</v>
      </c>
      <c r="I230" s="5">
        <v>2093.25</v>
      </c>
      <c r="J230" s="5">
        <v>39771.75</v>
      </c>
      <c r="K230" s="7">
        <v>27910</v>
      </c>
      <c r="L230" s="5">
        <v>11861.75</v>
      </c>
      <c r="M230" s="1">
        <v>41944</v>
      </c>
      <c r="N230">
        <v>11</v>
      </c>
      <c r="O230" t="s">
        <v>28</v>
      </c>
      <c r="P230" t="s">
        <v>12</v>
      </c>
      <c r="Q230" s="5">
        <f>tbl_financials[[#This Row],[Net_Sales]]</f>
        <v>39771.75</v>
      </c>
      <c r="R230" s="5">
        <f>ROUND(tbl_financials[[#This Row],[Revenue]]*(0.12+MOD(ROW(),7)/100),2)</f>
        <v>7158.92</v>
      </c>
      <c r="S230" s="7">
        <f t="shared" si="3"/>
        <v>8130</v>
      </c>
      <c r="T230" s="5">
        <f>tbl_financials[[#This Row],[Gross_Profit]]-tbl_financials[[#This Row],[Operating_Expenses]]+tbl_financials[[#This Row],[Other_Income]]</f>
        <v>12832.83</v>
      </c>
      <c r="U230" s="11">
        <f>IF(tbl_financials[[#This Row],[Revenue]]=0,0,tbl_financials[[#This Row],[Net_Profit]]/tbl_financials[[#This Row],[Revenue]])</f>
        <v>0.32266193969337531</v>
      </c>
      <c r="V230" s="11" t="str">
        <f>tbl_financials[[#This Row],[Month_Name]] &amp; "_" &amp; tbl_financials[[#This Row],[Year]]</f>
        <v>November_2014</v>
      </c>
      <c r="W230" s="11" t="str">
        <f>tbl_financials[[#This Row],[Month_Name]] &amp; "_" &amp; (tbl_financials[[#This Row],[Year]]-1)</f>
        <v>November_2013</v>
      </c>
      <c r="X23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-0.93412546583850931</v>
      </c>
    </row>
    <row r="231" spans="1:24" x14ac:dyDescent="0.3">
      <c r="A231" t="s">
        <v>7</v>
      </c>
      <c r="B231" t="s">
        <v>14</v>
      </c>
      <c r="C231" t="s">
        <v>32</v>
      </c>
      <c r="D231" t="s">
        <v>40</v>
      </c>
      <c r="E231" s="9">
        <v>570</v>
      </c>
      <c r="F231" s="7">
        <v>3</v>
      </c>
      <c r="G231" s="7">
        <v>7</v>
      </c>
      <c r="H231" s="7">
        <v>3990</v>
      </c>
      <c r="I231" s="5">
        <v>199.5</v>
      </c>
      <c r="J231" s="5">
        <v>3790.5</v>
      </c>
      <c r="K231" s="7">
        <v>2850</v>
      </c>
      <c r="L231" s="5">
        <v>940.5</v>
      </c>
      <c r="M231" s="1">
        <v>41974</v>
      </c>
      <c r="N231">
        <v>12</v>
      </c>
      <c r="O231" t="s">
        <v>29</v>
      </c>
      <c r="P231" t="s">
        <v>12</v>
      </c>
      <c r="Q231" s="5">
        <f>tbl_financials[[#This Row],[Net_Sales]]</f>
        <v>3790.5</v>
      </c>
      <c r="R231" s="5">
        <f>ROUND(tbl_financials[[#This Row],[Revenue]]*(0.12+MOD(ROW(),7)/100),2)</f>
        <v>454.86</v>
      </c>
      <c r="S231" s="7">
        <f t="shared" si="3"/>
        <v>8161</v>
      </c>
      <c r="T231" s="5">
        <f>tbl_financials[[#This Row],[Gross_Profit]]-tbl_financials[[#This Row],[Operating_Expenses]]+tbl_financials[[#This Row],[Other_Income]]</f>
        <v>8646.64</v>
      </c>
      <c r="U231" s="11">
        <f>IF(tbl_financials[[#This Row],[Revenue]]=0,0,tbl_financials[[#This Row],[Net_Profit]]/tbl_financials[[#This Row],[Revenue]])</f>
        <v>2.2811344149848303</v>
      </c>
      <c r="V231" s="11" t="str">
        <f>tbl_financials[[#This Row],[Month_Name]] &amp; "_" &amp; tbl_financials[[#This Row],[Year]]</f>
        <v>December_2014</v>
      </c>
      <c r="W231" s="11" t="str">
        <f>tbl_financials[[#This Row],[Month_Name]] &amp; "_" &amp; (tbl_financials[[#This Row],[Year]]-1)</f>
        <v>December_2013</v>
      </c>
      <c r="X23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-0.88257434944237922</v>
      </c>
    </row>
    <row r="232" spans="1:24" x14ac:dyDescent="0.3">
      <c r="A232" t="s">
        <v>7</v>
      </c>
      <c r="B232" t="s">
        <v>15</v>
      </c>
      <c r="C232" t="s">
        <v>32</v>
      </c>
      <c r="D232" t="s">
        <v>40</v>
      </c>
      <c r="E232" s="9">
        <v>2487</v>
      </c>
      <c r="F232" s="7">
        <v>3</v>
      </c>
      <c r="G232" s="7">
        <v>7</v>
      </c>
      <c r="H232" s="7">
        <v>17409</v>
      </c>
      <c r="I232" s="5">
        <v>870.45</v>
      </c>
      <c r="J232" s="5">
        <v>16538.55</v>
      </c>
      <c r="K232" s="7">
        <v>12435</v>
      </c>
      <c r="L232" s="5">
        <v>4103.5499999999902</v>
      </c>
      <c r="M232" s="1">
        <v>41974</v>
      </c>
      <c r="N232">
        <v>12</v>
      </c>
      <c r="O232" t="s">
        <v>29</v>
      </c>
      <c r="P232" t="s">
        <v>12</v>
      </c>
      <c r="Q232" s="5">
        <f>tbl_financials[[#This Row],[Net_Sales]]</f>
        <v>16538.55</v>
      </c>
      <c r="R232" s="5">
        <f>ROUND(tbl_financials[[#This Row],[Revenue]]*(0.12+MOD(ROW(),7)/100),2)</f>
        <v>2150.0100000000002</v>
      </c>
      <c r="S232" s="7">
        <f t="shared" si="3"/>
        <v>8192</v>
      </c>
      <c r="T232" s="5">
        <f>tbl_financials[[#This Row],[Gross_Profit]]-tbl_financials[[#This Row],[Operating_Expenses]]+tbl_financials[[#This Row],[Other_Income]]</f>
        <v>10145.53999999999</v>
      </c>
      <c r="U232" s="11">
        <f>IF(tbl_financials[[#This Row],[Revenue]]=0,0,tbl_financials[[#This Row],[Net_Profit]]/tbl_financials[[#This Row],[Revenue]])</f>
        <v>0.61344797458060052</v>
      </c>
      <c r="V232" s="11" t="str">
        <f>tbl_financials[[#This Row],[Month_Name]] &amp; "_" &amp; tbl_financials[[#This Row],[Year]]</f>
        <v>December_2014</v>
      </c>
      <c r="W232" s="11" t="str">
        <f>tbl_financials[[#This Row],[Month_Name]] &amp; "_" &amp; (tbl_financials[[#This Row],[Year]]-1)</f>
        <v>December_2013</v>
      </c>
      <c r="X23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-0.48765334572490709</v>
      </c>
    </row>
    <row r="233" spans="1:24" x14ac:dyDescent="0.3">
      <c r="A233" t="s">
        <v>7</v>
      </c>
      <c r="B233" t="s">
        <v>15</v>
      </c>
      <c r="C233" t="s">
        <v>33</v>
      </c>
      <c r="D233" t="s">
        <v>40</v>
      </c>
      <c r="E233" s="9">
        <v>1384.5</v>
      </c>
      <c r="F233" s="7">
        <v>5</v>
      </c>
      <c r="G233" s="7">
        <v>350</v>
      </c>
      <c r="H233" s="7">
        <v>484575</v>
      </c>
      <c r="I233" s="5">
        <v>24228.75</v>
      </c>
      <c r="J233" s="5">
        <v>460346.25</v>
      </c>
      <c r="K233" s="7">
        <v>359970</v>
      </c>
      <c r="L233" s="5">
        <v>100376.25</v>
      </c>
      <c r="M233" s="1">
        <v>41640</v>
      </c>
      <c r="N233">
        <v>1</v>
      </c>
      <c r="O233" t="s">
        <v>18</v>
      </c>
      <c r="P233" t="s">
        <v>12</v>
      </c>
      <c r="Q233" s="5">
        <f>tbl_financials[[#This Row],[Net_Sales]]</f>
        <v>460346.25</v>
      </c>
      <c r="R233" s="5">
        <f>ROUND(tbl_financials[[#This Row],[Revenue]]*(0.12+MOD(ROW(),7)/100),2)</f>
        <v>64448.480000000003</v>
      </c>
      <c r="S233" s="7">
        <f t="shared" si="3"/>
        <v>8223</v>
      </c>
      <c r="T233" s="5">
        <f>tbl_financials[[#This Row],[Gross_Profit]]-tbl_financials[[#This Row],[Operating_Expenses]]+tbl_financials[[#This Row],[Other_Income]]</f>
        <v>44150.77</v>
      </c>
      <c r="U233" s="11">
        <f>IF(tbl_financials[[#This Row],[Revenue]]=0,0,tbl_financials[[#This Row],[Net_Profit]]/tbl_financials[[#This Row],[Revenue]])</f>
        <v>9.5907743356223707E-2</v>
      </c>
      <c r="V233" s="11" t="str">
        <f>tbl_financials[[#This Row],[Month_Name]] &amp; "_" &amp; tbl_financials[[#This Row],[Year]]</f>
        <v>January_2014</v>
      </c>
      <c r="W233" s="11" t="str">
        <f>tbl_financials[[#This Row],[Month_Name]] &amp; "_" &amp; (tbl_financials[[#This Row],[Year]]-1)</f>
        <v>January_2013</v>
      </c>
      <c r="X23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34" spans="1:24" x14ac:dyDescent="0.3">
      <c r="A234" t="s">
        <v>6</v>
      </c>
      <c r="B234" t="s">
        <v>14</v>
      </c>
      <c r="C234" t="s">
        <v>33</v>
      </c>
      <c r="D234" t="s">
        <v>40</v>
      </c>
      <c r="E234" s="9">
        <v>3627</v>
      </c>
      <c r="F234" s="7">
        <v>5</v>
      </c>
      <c r="G234" s="7">
        <v>125</v>
      </c>
      <c r="H234" s="7">
        <v>453375</v>
      </c>
      <c r="I234" s="5">
        <v>22668.75</v>
      </c>
      <c r="J234" s="5">
        <v>430706.25</v>
      </c>
      <c r="K234" s="7">
        <v>435240</v>
      </c>
      <c r="L234" s="5">
        <v>-4533.75</v>
      </c>
      <c r="M234" s="1">
        <v>41821</v>
      </c>
      <c r="N234">
        <v>7</v>
      </c>
      <c r="O234" t="s">
        <v>24</v>
      </c>
      <c r="P234" t="s">
        <v>12</v>
      </c>
      <c r="Q234" s="5">
        <f>tbl_financials[[#This Row],[Net_Sales]]</f>
        <v>430706.25</v>
      </c>
      <c r="R234" s="5">
        <f>ROUND(tbl_financials[[#This Row],[Revenue]]*(0.12+MOD(ROW(),7)/100),2)</f>
        <v>64605.94</v>
      </c>
      <c r="S234" s="7">
        <f t="shared" si="3"/>
        <v>8254</v>
      </c>
      <c r="T234" s="5">
        <f>tbl_financials[[#This Row],[Gross_Profit]]-tbl_financials[[#This Row],[Operating_Expenses]]+tbl_financials[[#This Row],[Other_Income]]</f>
        <v>-60885.69</v>
      </c>
      <c r="U234" s="11">
        <f>IF(tbl_financials[[#This Row],[Revenue]]=0,0,tbl_financials[[#This Row],[Net_Profit]]/tbl_financials[[#This Row],[Revenue]])</f>
        <v>-0.1413624483043838</v>
      </c>
      <c r="V234" s="11" t="str">
        <f>tbl_financials[[#This Row],[Month_Name]] &amp; "_" &amp; tbl_financials[[#This Row],[Year]]</f>
        <v>July_2014</v>
      </c>
      <c r="W234" s="11" t="str">
        <f>tbl_financials[[#This Row],[Month_Name]] &amp; "_" &amp; (tbl_financials[[#This Row],[Year]]-1)</f>
        <v>July_2013</v>
      </c>
      <c r="X23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35" spans="1:24" x14ac:dyDescent="0.3">
      <c r="A235" t="s">
        <v>7</v>
      </c>
      <c r="B235" t="s">
        <v>17</v>
      </c>
      <c r="C235" t="s">
        <v>33</v>
      </c>
      <c r="D235" t="s">
        <v>40</v>
      </c>
      <c r="E235" s="9">
        <v>720</v>
      </c>
      <c r="F235" s="7">
        <v>5</v>
      </c>
      <c r="G235" s="7">
        <v>350</v>
      </c>
      <c r="H235" s="7">
        <v>252000</v>
      </c>
      <c r="I235" s="5">
        <v>12600</v>
      </c>
      <c r="J235" s="5">
        <v>239400</v>
      </c>
      <c r="K235" s="7">
        <v>187200</v>
      </c>
      <c r="L235" s="5">
        <v>52200</v>
      </c>
      <c r="M235" s="1">
        <v>41518</v>
      </c>
      <c r="N235">
        <v>9</v>
      </c>
      <c r="O235" t="s">
        <v>26</v>
      </c>
      <c r="P235" t="s">
        <v>11</v>
      </c>
      <c r="Q235" s="5">
        <f>tbl_financials[[#This Row],[Net_Sales]]</f>
        <v>239400</v>
      </c>
      <c r="R235" s="5">
        <f>ROUND(tbl_financials[[#This Row],[Revenue]]*(0.12+MOD(ROW(),7)/100),2)</f>
        <v>38304</v>
      </c>
      <c r="S235" s="7">
        <f t="shared" si="3"/>
        <v>8285</v>
      </c>
      <c r="T235" s="5">
        <f>tbl_financials[[#This Row],[Gross_Profit]]-tbl_financials[[#This Row],[Operating_Expenses]]+tbl_financials[[#This Row],[Other_Income]]</f>
        <v>22181</v>
      </c>
      <c r="U235" s="11">
        <f>IF(tbl_financials[[#This Row],[Revenue]]=0,0,tbl_financials[[#This Row],[Net_Profit]]/tbl_financials[[#This Row],[Revenue]])</f>
        <v>9.2652464494569764E-2</v>
      </c>
      <c r="V235" s="11" t="str">
        <f>tbl_financials[[#This Row],[Month_Name]] &amp; "_" &amp; tbl_financials[[#This Row],[Year]]</f>
        <v>September_2013</v>
      </c>
      <c r="W235" s="11" t="str">
        <f>tbl_financials[[#This Row],[Month_Name]] &amp; "_" &amp; (tbl_financials[[#This Row],[Year]]-1)</f>
        <v>September_2012</v>
      </c>
      <c r="X23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36" spans="1:24" x14ac:dyDescent="0.3">
      <c r="A236" t="s">
        <v>8</v>
      </c>
      <c r="B236" t="s">
        <v>16</v>
      </c>
      <c r="C236" t="s">
        <v>33</v>
      </c>
      <c r="D236" t="s">
        <v>40</v>
      </c>
      <c r="E236" s="9">
        <v>2342</v>
      </c>
      <c r="F236" s="7">
        <v>5</v>
      </c>
      <c r="G236" s="7">
        <v>12</v>
      </c>
      <c r="H236" s="7">
        <v>28104</v>
      </c>
      <c r="I236" s="5">
        <v>1405.2</v>
      </c>
      <c r="J236" s="5">
        <v>26698.799999999999</v>
      </c>
      <c r="K236" s="7">
        <v>7026</v>
      </c>
      <c r="L236" s="5">
        <v>19672.8</v>
      </c>
      <c r="M236" s="1">
        <v>41944</v>
      </c>
      <c r="N236">
        <v>11</v>
      </c>
      <c r="O236" t="s">
        <v>28</v>
      </c>
      <c r="P236" t="s">
        <v>12</v>
      </c>
      <c r="Q236" s="5">
        <f>tbl_financials[[#This Row],[Net_Sales]]</f>
        <v>26698.799999999999</v>
      </c>
      <c r="R236" s="5">
        <f>ROUND(tbl_financials[[#This Row],[Revenue]]*(0.12+MOD(ROW(),7)/100),2)</f>
        <v>4538.8</v>
      </c>
      <c r="S236" s="7">
        <f t="shared" si="3"/>
        <v>8316</v>
      </c>
      <c r="T236" s="5">
        <f>tbl_financials[[#This Row],[Gross_Profit]]-tbl_financials[[#This Row],[Operating_Expenses]]+tbl_financials[[#This Row],[Other_Income]]</f>
        <v>23450</v>
      </c>
      <c r="U236" s="11">
        <f>IF(tbl_financials[[#This Row],[Revenue]]=0,0,tbl_financials[[#This Row],[Net_Profit]]/tbl_financials[[#This Row],[Revenue]])</f>
        <v>0.87831662846270242</v>
      </c>
      <c r="V236" s="11" t="str">
        <f>tbl_financials[[#This Row],[Month_Name]] &amp; "_" &amp; tbl_financials[[#This Row],[Year]]</f>
        <v>November_2014</v>
      </c>
      <c r="W236" s="11" t="str">
        <f>tbl_financials[[#This Row],[Month_Name]] &amp; "_" &amp; (tbl_financials[[#This Row],[Year]]-1)</f>
        <v>November_2013</v>
      </c>
      <c r="X23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-0.95577838509316759</v>
      </c>
    </row>
    <row r="237" spans="1:24" x14ac:dyDescent="0.3">
      <c r="A237" t="s">
        <v>4</v>
      </c>
      <c r="B237" t="s">
        <v>17</v>
      </c>
      <c r="C237" t="s">
        <v>33</v>
      </c>
      <c r="D237" t="s">
        <v>40</v>
      </c>
      <c r="E237" s="9">
        <v>1100</v>
      </c>
      <c r="F237" s="7">
        <v>5</v>
      </c>
      <c r="G237" s="7">
        <v>300</v>
      </c>
      <c r="H237" s="7">
        <v>330000</v>
      </c>
      <c r="I237" s="5">
        <v>16500</v>
      </c>
      <c r="J237" s="5">
        <v>313500</v>
      </c>
      <c r="K237" s="7">
        <v>275000</v>
      </c>
      <c r="L237" s="5">
        <v>38500</v>
      </c>
      <c r="M237" s="1">
        <v>41609</v>
      </c>
      <c r="N237">
        <v>12</v>
      </c>
      <c r="O237" t="s">
        <v>29</v>
      </c>
      <c r="P237" t="s">
        <v>11</v>
      </c>
      <c r="Q237" s="5">
        <f>tbl_financials[[#This Row],[Net_Sales]]</f>
        <v>313500</v>
      </c>
      <c r="R237" s="5">
        <f>ROUND(tbl_financials[[#This Row],[Revenue]]*(0.12+MOD(ROW(),7)/100),2)</f>
        <v>56430</v>
      </c>
      <c r="S237" s="7">
        <f t="shared" si="3"/>
        <v>8347</v>
      </c>
      <c r="T237" s="5">
        <f>tbl_financials[[#This Row],[Gross_Profit]]-tbl_financials[[#This Row],[Operating_Expenses]]+tbl_financials[[#This Row],[Other_Income]]</f>
        <v>-9583</v>
      </c>
      <c r="U237" s="11">
        <f>IF(tbl_financials[[#This Row],[Revenue]]=0,0,tbl_financials[[#This Row],[Net_Profit]]/tbl_financials[[#This Row],[Revenue]])</f>
        <v>-3.0567783094098883E-2</v>
      </c>
      <c r="V237" s="11" t="str">
        <f>tbl_financials[[#This Row],[Month_Name]] &amp; "_" &amp; tbl_financials[[#This Row],[Year]]</f>
        <v>December_2013</v>
      </c>
      <c r="W237" s="11" t="str">
        <f>tbl_financials[[#This Row],[Month_Name]] &amp; "_" &amp; (tbl_financials[[#This Row],[Year]]-1)</f>
        <v>December_2012</v>
      </c>
      <c r="X23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38" spans="1:24" x14ac:dyDescent="0.3">
      <c r="A238" t="s">
        <v>7</v>
      </c>
      <c r="B238" t="s">
        <v>15</v>
      </c>
      <c r="C238" t="s">
        <v>34</v>
      </c>
      <c r="D238" t="s">
        <v>40</v>
      </c>
      <c r="E238" s="9">
        <v>1303</v>
      </c>
      <c r="F238" s="7">
        <v>10</v>
      </c>
      <c r="G238" s="7">
        <v>20</v>
      </c>
      <c r="H238" s="7">
        <v>26060</v>
      </c>
      <c r="I238" s="5">
        <v>1303</v>
      </c>
      <c r="J238" s="5">
        <v>24757</v>
      </c>
      <c r="K238" s="7">
        <v>13030</v>
      </c>
      <c r="L238" s="5">
        <v>11727</v>
      </c>
      <c r="M238" s="1">
        <v>41671</v>
      </c>
      <c r="N238">
        <v>2</v>
      </c>
      <c r="O238" t="s">
        <v>19</v>
      </c>
      <c r="P238" t="s">
        <v>12</v>
      </c>
      <c r="Q238" s="5">
        <f>tbl_financials[[#This Row],[Net_Sales]]</f>
        <v>24757</v>
      </c>
      <c r="R238" s="5">
        <f>ROUND(tbl_financials[[#This Row],[Revenue]]*(0.12+MOD(ROW(),7)/100),2)</f>
        <v>2970.84</v>
      </c>
      <c r="S238" s="7">
        <f t="shared" si="3"/>
        <v>8378</v>
      </c>
      <c r="T238" s="5">
        <f>tbl_financials[[#This Row],[Gross_Profit]]-tbl_financials[[#This Row],[Operating_Expenses]]+tbl_financials[[#This Row],[Other_Income]]</f>
        <v>17134.16</v>
      </c>
      <c r="U238" s="11">
        <f>IF(tbl_financials[[#This Row],[Revenue]]=0,0,tbl_financials[[#This Row],[Net_Profit]]/tbl_financials[[#This Row],[Revenue]])</f>
        <v>0.69209354929918809</v>
      </c>
      <c r="V238" s="11" t="str">
        <f>tbl_financials[[#This Row],[Month_Name]] &amp; "_" &amp; tbl_financials[[#This Row],[Year]]</f>
        <v>February_2014</v>
      </c>
      <c r="W238" s="11" t="str">
        <f>tbl_financials[[#This Row],[Month_Name]] &amp; "_" &amp; (tbl_financials[[#This Row],[Year]]-1)</f>
        <v>February_2013</v>
      </c>
      <c r="X23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39" spans="1:24" x14ac:dyDescent="0.3">
      <c r="A239" t="s">
        <v>6</v>
      </c>
      <c r="B239" t="s">
        <v>14</v>
      </c>
      <c r="C239" t="s">
        <v>34</v>
      </c>
      <c r="D239" t="s">
        <v>40</v>
      </c>
      <c r="E239" s="9">
        <v>2992</v>
      </c>
      <c r="F239" s="7">
        <v>10</v>
      </c>
      <c r="G239" s="7">
        <v>125</v>
      </c>
      <c r="H239" s="7">
        <v>374000</v>
      </c>
      <c r="I239" s="5">
        <v>18700</v>
      </c>
      <c r="J239" s="5">
        <v>355300</v>
      </c>
      <c r="K239" s="7">
        <v>359040</v>
      </c>
      <c r="L239" s="5">
        <v>-3740</v>
      </c>
      <c r="M239" s="1">
        <v>41699</v>
      </c>
      <c r="N239">
        <v>3</v>
      </c>
      <c r="O239" t="s">
        <v>20</v>
      </c>
      <c r="P239" t="s">
        <v>12</v>
      </c>
      <c r="Q239" s="5">
        <f>tbl_financials[[#This Row],[Net_Sales]]</f>
        <v>355300</v>
      </c>
      <c r="R239" s="5">
        <f>ROUND(tbl_financials[[#This Row],[Revenue]]*(0.12+MOD(ROW(),7)/100),2)</f>
        <v>46189</v>
      </c>
      <c r="S239" s="7">
        <f t="shared" si="3"/>
        <v>8409</v>
      </c>
      <c r="T239" s="5">
        <f>tbl_financials[[#This Row],[Gross_Profit]]-tbl_financials[[#This Row],[Operating_Expenses]]+tbl_financials[[#This Row],[Other_Income]]</f>
        <v>-41520</v>
      </c>
      <c r="U239" s="11">
        <f>IF(tbl_financials[[#This Row],[Revenue]]=0,0,tbl_financials[[#This Row],[Net_Profit]]/tbl_financials[[#This Row],[Revenue]])</f>
        <v>-0.11685899240078806</v>
      </c>
      <c r="V239" s="11" t="str">
        <f>tbl_financials[[#This Row],[Month_Name]] &amp; "_" &amp; tbl_financials[[#This Row],[Year]]</f>
        <v>March_2014</v>
      </c>
      <c r="W239" s="11" t="str">
        <f>tbl_financials[[#This Row],[Month_Name]] &amp; "_" &amp; (tbl_financials[[#This Row],[Year]]-1)</f>
        <v>March_2013</v>
      </c>
      <c r="X23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40" spans="1:24" x14ac:dyDescent="0.3">
      <c r="A240" t="s">
        <v>6</v>
      </c>
      <c r="B240" t="s">
        <v>15</v>
      </c>
      <c r="C240" t="s">
        <v>34</v>
      </c>
      <c r="D240" t="s">
        <v>40</v>
      </c>
      <c r="E240" s="9">
        <v>2385</v>
      </c>
      <c r="F240" s="7">
        <v>10</v>
      </c>
      <c r="G240" s="7">
        <v>125</v>
      </c>
      <c r="H240" s="7">
        <v>298125</v>
      </c>
      <c r="I240" s="5">
        <v>14906.25</v>
      </c>
      <c r="J240" s="5">
        <v>283218.75</v>
      </c>
      <c r="K240" s="7">
        <v>286200</v>
      </c>
      <c r="L240" s="5">
        <v>-2981.25</v>
      </c>
      <c r="M240" s="1">
        <v>41699</v>
      </c>
      <c r="N240">
        <v>3</v>
      </c>
      <c r="O240" t="s">
        <v>20</v>
      </c>
      <c r="P240" t="s">
        <v>12</v>
      </c>
      <c r="Q240" s="5">
        <f>tbl_financials[[#This Row],[Net_Sales]]</f>
        <v>283218.75</v>
      </c>
      <c r="R240" s="5">
        <f>ROUND(tbl_financials[[#This Row],[Revenue]]*(0.12+MOD(ROW(),7)/100),2)</f>
        <v>39650.629999999997</v>
      </c>
      <c r="S240" s="7">
        <f t="shared" si="3"/>
        <v>8440</v>
      </c>
      <c r="T240" s="5">
        <f>tbl_financials[[#This Row],[Gross_Profit]]-tbl_financials[[#This Row],[Operating_Expenses]]+tbl_financials[[#This Row],[Other_Income]]</f>
        <v>-34191.879999999997</v>
      </c>
      <c r="U240" s="11">
        <f>IF(tbl_financials[[#This Row],[Revenue]]=0,0,tbl_financials[[#This Row],[Net_Profit]]/tbl_financials[[#This Row],[Revenue]])</f>
        <v>-0.12072604656294825</v>
      </c>
      <c r="V240" s="11" t="str">
        <f>tbl_financials[[#This Row],[Month_Name]] &amp; "_" &amp; tbl_financials[[#This Row],[Year]]</f>
        <v>March_2014</v>
      </c>
      <c r="W240" s="11" t="str">
        <f>tbl_financials[[#This Row],[Month_Name]] &amp; "_" &amp; (tbl_financials[[#This Row],[Year]]-1)</f>
        <v>March_2013</v>
      </c>
      <c r="X24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41" spans="1:24" x14ac:dyDescent="0.3">
      <c r="A241" t="s">
        <v>4</v>
      </c>
      <c r="B241" t="s">
        <v>17</v>
      </c>
      <c r="C241" t="s">
        <v>34</v>
      </c>
      <c r="D241" t="s">
        <v>40</v>
      </c>
      <c r="E241" s="9">
        <v>1607</v>
      </c>
      <c r="F241" s="7">
        <v>10</v>
      </c>
      <c r="G241" s="7">
        <v>300</v>
      </c>
      <c r="H241" s="7">
        <v>482100</v>
      </c>
      <c r="I241" s="5">
        <v>24105</v>
      </c>
      <c r="J241" s="5">
        <v>457995</v>
      </c>
      <c r="K241" s="7">
        <v>401750</v>
      </c>
      <c r="L241" s="5">
        <v>56245</v>
      </c>
      <c r="M241" s="1">
        <v>41730</v>
      </c>
      <c r="N241">
        <v>4</v>
      </c>
      <c r="O241" t="s">
        <v>21</v>
      </c>
      <c r="P241" t="s">
        <v>12</v>
      </c>
      <c r="Q241" s="5">
        <f>tbl_financials[[#This Row],[Net_Sales]]</f>
        <v>457995</v>
      </c>
      <c r="R241" s="5">
        <f>ROUND(tbl_financials[[#This Row],[Revenue]]*(0.12+MOD(ROW(),7)/100),2)</f>
        <v>68699.25</v>
      </c>
      <c r="S241" s="7">
        <f t="shared" si="3"/>
        <v>8471</v>
      </c>
      <c r="T241" s="5">
        <f>tbl_financials[[#This Row],[Gross_Profit]]-tbl_financials[[#This Row],[Operating_Expenses]]+tbl_financials[[#This Row],[Other_Income]]</f>
        <v>-3983.25</v>
      </c>
      <c r="U241" s="11">
        <f>IF(tbl_financials[[#This Row],[Revenue]]=0,0,tbl_financials[[#This Row],[Net_Profit]]/tbl_financials[[#This Row],[Revenue]])</f>
        <v>-8.6971473487701834E-3</v>
      </c>
      <c r="V241" s="11" t="str">
        <f>tbl_financials[[#This Row],[Month_Name]] &amp; "_" &amp; tbl_financials[[#This Row],[Year]]</f>
        <v>April_2014</v>
      </c>
      <c r="W241" s="11" t="str">
        <f>tbl_financials[[#This Row],[Month_Name]] &amp; "_" &amp; (tbl_financials[[#This Row],[Year]]-1)</f>
        <v>April_2013</v>
      </c>
      <c r="X24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42" spans="1:24" x14ac:dyDescent="0.3">
      <c r="A242" t="s">
        <v>7</v>
      </c>
      <c r="B242" t="s">
        <v>14</v>
      </c>
      <c r="C242" t="s">
        <v>34</v>
      </c>
      <c r="D242" t="s">
        <v>40</v>
      </c>
      <c r="E242" s="9">
        <v>2327</v>
      </c>
      <c r="F242" s="7">
        <v>10</v>
      </c>
      <c r="G242" s="7">
        <v>7</v>
      </c>
      <c r="H242" s="7">
        <v>16289</v>
      </c>
      <c r="I242" s="5">
        <v>814.45</v>
      </c>
      <c r="J242" s="5">
        <v>15474.55</v>
      </c>
      <c r="K242" s="7">
        <v>11635</v>
      </c>
      <c r="L242" s="5">
        <v>3839.5499999999902</v>
      </c>
      <c r="M242" s="1">
        <v>41760</v>
      </c>
      <c r="N242">
        <v>5</v>
      </c>
      <c r="O242" t="s">
        <v>22</v>
      </c>
      <c r="P242" t="s">
        <v>12</v>
      </c>
      <c r="Q242" s="5">
        <f>tbl_financials[[#This Row],[Net_Sales]]</f>
        <v>15474.55</v>
      </c>
      <c r="R242" s="5">
        <f>ROUND(tbl_financials[[#This Row],[Revenue]]*(0.12+MOD(ROW(),7)/100),2)</f>
        <v>2475.9299999999998</v>
      </c>
      <c r="S242" s="7">
        <f t="shared" si="3"/>
        <v>8502</v>
      </c>
      <c r="T242" s="5">
        <f>tbl_financials[[#This Row],[Gross_Profit]]-tbl_financials[[#This Row],[Operating_Expenses]]+tbl_financials[[#This Row],[Other_Income]]</f>
        <v>9865.6199999999899</v>
      </c>
      <c r="U242" s="11">
        <f>IF(tbl_financials[[#This Row],[Revenue]]=0,0,tbl_financials[[#This Row],[Net_Profit]]/tbl_financials[[#This Row],[Revenue]])</f>
        <v>0.63753840984067323</v>
      </c>
      <c r="V242" s="11" t="str">
        <f>tbl_financials[[#This Row],[Month_Name]] &amp; "_" &amp; tbl_financials[[#This Row],[Year]]</f>
        <v>May_2014</v>
      </c>
      <c r="W242" s="11" t="str">
        <f>tbl_financials[[#This Row],[Month_Name]] &amp; "_" &amp; (tbl_financials[[#This Row],[Year]]-1)</f>
        <v>May_2013</v>
      </c>
      <c r="X24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43" spans="1:24" x14ac:dyDescent="0.3">
      <c r="A243" t="s">
        <v>4</v>
      </c>
      <c r="B243" t="s">
        <v>14</v>
      </c>
      <c r="C243" t="s">
        <v>34</v>
      </c>
      <c r="D243" t="s">
        <v>40</v>
      </c>
      <c r="E243" s="9">
        <v>991</v>
      </c>
      <c r="F243" s="7">
        <v>10</v>
      </c>
      <c r="G243" s="7">
        <v>300</v>
      </c>
      <c r="H243" s="7">
        <v>297300</v>
      </c>
      <c r="I243" s="5">
        <v>14865</v>
      </c>
      <c r="J243" s="5">
        <v>282435</v>
      </c>
      <c r="K243" s="7">
        <v>247750</v>
      </c>
      <c r="L243" s="5">
        <v>34685</v>
      </c>
      <c r="M243" s="1">
        <v>41791</v>
      </c>
      <c r="N243">
        <v>6</v>
      </c>
      <c r="O243" t="s">
        <v>23</v>
      </c>
      <c r="P243" t="s">
        <v>12</v>
      </c>
      <c r="Q243" s="5">
        <f>tbl_financials[[#This Row],[Net_Sales]]</f>
        <v>282435</v>
      </c>
      <c r="R243" s="5">
        <f>ROUND(tbl_financials[[#This Row],[Revenue]]*(0.12+MOD(ROW(),7)/100),2)</f>
        <v>48013.95</v>
      </c>
      <c r="S243" s="7">
        <f t="shared" si="3"/>
        <v>8533</v>
      </c>
      <c r="T243" s="5">
        <f>tbl_financials[[#This Row],[Gross_Profit]]-tbl_financials[[#This Row],[Operating_Expenses]]+tbl_financials[[#This Row],[Other_Income]]</f>
        <v>-4795.9499999999971</v>
      </c>
      <c r="U243" s="11">
        <f>IF(tbl_financials[[#This Row],[Revenue]]=0,0,tbl_financials[[#This Row],[Net_Profit]]/tbl_financials[[#This Row],[Revenue]])</f>
        <v>-1.6980721227893132E-2</v>
      </c>
      <c r="V243" s="11" t="str">
        <f>tbl_financials[[#This Row],[Month_Name]] &amp; "_" &amp; tbl_financials[[#This Row],[Year]]</f>
        <v>June_2014</v>
      </c>
      <c r="W243" s="11" t="str">
        <f>tbl_financials[[#This Row],[Month_Name]] &amp; "_" &amp; (tbl_financials[[#This Row],[Year]]-1)</f>
        <v>June_2013</v>
      </c>
      <c r="X24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44" spans="1:24" x14ac:dyDescent="0.3">
      <c r="A244" t="s">
        <v>7</v>
      </c>
      <c r="B244" t="s">
        <v>14</v>
      </c>
      <c r="C244" t="s">
        <v>34</v>
      </c>
      <c r="D244" t="s">
        <v>40</v>
      </c>
      <c r="E244" s="9">
        <v>602</v>
      </c>
      <c r="F244" s="7">
        <v>10</v>
      </c>
      <c r="G244" s="7">
        <v>350</v>
      </c>
      <c r="H244" s="7">
        <v>210700</v>
      </c>
      <c r="I244" s="5">
        <v>10535</v>
      </c>
      <c r="J244" s="5">
        <v>200165</v>
      </c>
      <c r="K244" s="7">
        <v>156520</v>
      </c>
      <c r="L244" s="5">
        <v>43645</v>
      </c>
      <c r="M244" s="1">
        <v>41791</v>
      </c>
      <c r="N244">
        <v>6</v>
      </c>
      <c r="O244" t="s">
        <v>23</v>
      </c>
      <c r="P244" t="s">
        <v>12</v>
      </c>
      <c r="Q244" s="5">
        <f>tbl_financials[[#This Row],[Net_Sales]]</f>
        <v>200165</v>
      </c>
      <c r="R244" s="5">
        <f>ROUND(tbl_financials[[#This Row],[Revenue]]*(0.12+MOD(ROW(),7)/100),2)</f>
        <v>36029.699999999997</v>
      </c>
      <c r="S244" s="7">
        <f t="shared" si="3"/>
        <v>8564</v>
      </c>
      <c r="T244" s="5">
        <f>tbl_financials[[#This Row],[Gross_Profit]]-tbl_financials[[#This Row],[Operating_Expenses]]+tbl_financials[[#This Row],[Other_Income]]</f>
        <v>16179.300000000003</v>
      </c>
      <c r="U244" s="11">
        <f>IF(tbl_financials[[#This Row],[Revenue]]=0,0,tbl_financials[[#This Row],[Net_Profit]]/tbl_financials[[#This Row],[Revenue]])</f>
        <v>8.0829815402293129E-2</v>
      </c>
      <c r="V244" s="11" t="str">
        <f>tbl_financials[[#This Row],[Month_Name]] &amp; "_" &amp; tbl_financials[[#This Row],[Year]]</f>
        <v>June_2014</v>
      </c>
      <c r="W244" s="11" t="str">
        <f>tbl_financials[[#This Row],[Month_Name]] &amp; "_" &amp; (tbl_financials[[#This Row],[Year]]-1)</f>
        <v>June_2013</v>
      </c>
      <c r="X24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45" spans="1:24" x14ac:dyDescent="0.3">
      <c r="A245" t="s">
        <v>5</v>
      </c>
      <c r="B245" t="s">
        <v>15</v>
      </c>
      <c r="C245" t="s">
        <v>34</v>
      </c>
      <c r="D245" t="s">
        <v>40</v>
      </c>
      <c r="E245" s="9">
        <v>2620</v>
      </c>
      <c r="F245" s="7">
        <v>10</v>
      </c>
      <c r="G245" s="7">
        <v>15</v>
      </c>
      <c r="H245" s="7">
        <v>39300</v>
      </c>
      <c r="I245" s="5">
        <v>1965</v>
      </c>
      <c r="J245" s="5">
        <v>37335</v>
      </c>
      <c r="K245" s="7">
        <v>26200</v>
      </c>
      <c r="L245" s="5">
        <v>11135</v>
      </c>
      <c r="M245" s="1">
        <v>41883</v>
      </c>
      <c r="N245">
        <v>9</v>
      </c>
      <c r="O245" t="s">
        <v>26</v>
      </c>
      <c r="P245" t="s">
        <v>12</v>
      </c>
      <c r="Q245" s="5">
        <f>tbl_financials[[#This Row],[Net_Sales]]</f>
        <v>37335</v>
      </c>
      <c r="R245" s="5">
        <f>ROUND(tbl_financials[[#This Row],[Revenue]]*(0.12+MOD(ROW(),7)/100),2)</f>
        <v>4480.2</v>
      </c>
      <c r="S245" s="7">
        <f t="shared" si="3"/>
        <v>8595</v>
      </c>
      <c r="T245" s="5">
        <f>tbl_financials[[#This Row],[Gross_Profit]]-tbl_financials[[#This Row],[Operating_Expenses]]+tbl_financials[[#This Row],[Other_Income]]</f>
        <v>15249.8</v>
      </c>
      <c r="U245" s="11">
        <f>IF(tbl_financials[[#This Row],[Revenue]]=0,0,tbl_financials[[#This Row],[Net_Profit]]/tbl_financials[[#This Row],[Revenue]])</f>
        <v>0.40845855095754652</v>
      </c>
      <c r="V245" s="11" t="str">
        <f>tbl_financials[[#This Row],[Month_Name]] &amp; "_" &amp; tbl_financials[[#This Row],[Year]]</f>
        <v>September_2014</v>
      </c>
      <c r="W245" s="11" t="str">
        <f>tbl_financials[[#This Row],[Month_Name]] &amp; "_" &amp; (tbl_financials[[#This Row],[Year]]-1)</f>
        <v>September_2013</v>
      </c>
      <c r="X24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3.5336976320582876</v>
      </c>
    </row>
    <row r="246" spans="1:24" x14ac:dyDescent="0.3">
      <c r="A246" t="s">
        <v>7</v>
      </c>
      <c r="B246" t="s">
        <v>13</v>
      </c>
      <c r="C246" t="s">
        <v>34</v>
      </c>
      <c r="D246" t="s">
        <v>40</v>
      </c>
      <c r="E246" s="9">
        <v>1228</v>
      </c>
      <c r="F246" s="7">
        <v>10</v>
      </c>
      <c r="G246" s="7">
        <v>350</v>
      </c>
      <c r="H246" s="7">
        <v>429800</v>
      </c>
      <c r="I246" s="5">
        <v>21490</v>
      </c>
      <c r="J246" s="5">
        <v>408310</v>
      </c>
      <c r="K246" s="7">
        <v>319280</v>
      </c>
      <c r="L246" s="5">
        <v>89030</v>
      </c>
      <c r="M246" s="1">
        <v>41548</v>
      </c>
      <c r="N246">
        <v>10</v>
      </c>
      <c r="O246" t="s">
        <v>27</v>
      </c>
      <c r="P246" t="s">
        <v>11</v>
      </c>
      <c r="Q246" s="5">
        <f>tbl_financials[[#This Row],[Net_Sales]]</f>
        <v>408310</v>
      </c>
      <c r="R246" s="5">
        <f>ROUND(tbl_financials[[#This Row],[Revenue]]*(0.12+MOD(ROW(),7)/100),2)</f>
        <v>53080.3</v>
      </c>
      <c r="S246" s="7">
        <f t="shared" si="3"/>
        <v>8626</v>
      </c>
      <c r="T246" s="5">
        <f>tbl_financials[[#This Row],[Gross_Profit]]-tbl_financials[[#This Row],[Operating_Expenses]]+tbl_financials[[#This Row],[Other_Income]]</f>
        <v>44575.7</v>
      </c>
      <c r="U246" s="11">
        <f>IF(tbl_financials[[#This Row],[Revenue]]=0,0,tbl_financials[[#This Row],[Net_Profit]]/tbl_financials[[#This Row],[Revenue]])</f>
        <v>0.109171217947148</v>
      </c>
      <c r="V246" s="11" t="str">
        <f>tbl_financials[[#This Row],[Month_Name]] &amp; "_" &amp; tbl_financials[[#This Row],[Year]]</f>
        <v>October_2013</v>
      </c>
      <c r="W246" s="11" t="str">
        <f>tbl_financials[[#This Row],[Month_Name]] &amp; "_" &amp; (tbl_financials[[#This Row],[Year]]-1)</f>
        <v>October_2012</v>
      </c>
      <c r="X24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47" spans="1:24" x14ac:dyDescent="0.3">
      <c r="A247" t="s">
        <v>7</v>
      </c>
      <c r="B247" t="s">
        <v>13</v>
      </c>
      <c r="C247" t="s">
        <v>34</v>
      </c>
      <c r="D247" t="s">
        <v>40</v>
      </c>
      <c r="E247" s="9">
        <v>1389</v>
      </c>
      <c r="F247" s="7">
        <v>10</v>
      </c>
      <c r="G247" s="7">
        <v>20</v>
      </c>
      <c r="H247" s="7">
        <v>27780</v>
      </c>
      <c r="I247" s="5">
        <v>1389</v>
      </c>
      <c r="J247" s="5">
        <v>26391</v>
      </c>
      <c r="K247" s="7">
        <v>13890</v>
      </c>
      <c r="L247" s="5">
        <v>12501</v>
      </c>
      <c r="M247" s="1">
        <v>41548</v>
      </c>
      <c r="N247">
        <v>10</v>
      </c>
      <c r="O247" t="s">
        <v>27</v>
      </c>
      <c r="P247" t="s">
        <v>11</v>
      </c>
      <c r="Q247" s="5">
        <f>tbl_financials[[#This Row],[Net_Sales]]</f>
        <v>26391</v>
      </c>
      <c r="R247" s="5">
        <f>ROUND(tbl_financials[[#This Row],[Revenue]]*(0.12+MOD(ROW(),7)/100),2)</f>
        <v>3694.74</v>
      </c>
      <c r="S247" s="7">
        <f t="shared" si="3"/>
        <v>8657</v>
      </c>
      <c r="T247" s="5">
        <f>tbl_financials[[#This Row],[Gross_Profit]]-tbl_financials[[#This Row],[Operating_Expenses]]+tbl_financials[[#This Row],[Other_Income]]</f>
        <v>17463.260000000002</v>
      </c>
      <c r="U247" s="11">
        <f>IF(tbl_financials[[#This Row],[Revenue]]=0,0,tbl_financials[[#This Row],[Net_Profit]]/tbl_financials[[#This Row],[Revenue]])</f>
        <v>0.66171270508885616</v>
      </c>
      <c r="V247" s="11" t="str">
        <f>tbl_financials[[#This Row],[Month_Name]] &amp; "_" &amp; tbl_financials[[#This Row],[Year]]</f>
        <v>October_2013</v>
      </c>
      <c r="W247" s="11" t="str">
        <f>tbl_financials[[#This Row],[Month_Name]] &amp; "_" &amp; (tbl_financials[[#This Row],[Year]]-1)</f>
        <v>October_2012</v>
      </c>
      <c r="X24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48" spans="1:24" x14ac:dyDescent="0.3">
      <c r="A248" t="s">
        <v>6</v>
      </c>
      <c r="B248" t="s">
        <v>14</v>
      </c>
      <c r="C248" t="s">
        <v>34</v>
      </c>
      <c r="D248" t="s">
        <v>40</v>
      </c>
      <c r="E248" s="9">
        <v>861</v>
      </c>
      <c r="F248" s="7">
        <v>10</v>
      </c>
      <c r="G248" s="7">
        <v>125</v>
      </c>
      <c r="H248" s="7">
        <v>107625</v>
      </c>
      <c r="I248" s="5">
        <v>5381.25</v>
      </c>
      <c r="J248" s="5">
        <v>102243.75</v>
      </c>
      <c r="K248" s="7">
        <v>103320</v>
      </c>
      <c r="L248" s="5">
        <v>-1076.25</v>
      </c>
      <c r="M248" s="1">
        <v>41913</v>
      </c>
      <c r="N248">
        <v>10</v>
      </c>
      <c r="O248" t="s">
        <v>27</v>
      </c>
      <c r="P248" t="s">
        <v>12</v>
      </c>
      <c r="Q248" s="5">
        <f>tbl_financials[[#This Row],[Net_Sales]]</f>
        <v>102243.75</v>
      </c>
      <c r="R248" s="5">
        <f>ROUND(tbl_financials[[#This Row],[Revenue]]*(0.12+MOD(ROW(),7)/100),2)</f>
        <v>15336.56</v>
      </c>
      <c r="S248" s="7">
        <f t="shared" si="3"/>
        <v>8688</v>
      </c>
      <c r="T248" s="5">
        <f>tbl_financials[[#This Row],[Gross_Profit]]-tbl_financials[[#This Row],[Operating_Expenses]]+tbl_financials[[#This Row],[Other_Income]]</f>
        <v>-7724.8099999999977</v>
      </c>
      <c r="U248" s="11">
        <f>IF(tbl_financials[[#This Row],[Revenue]]=0,0,tbl_financials[[#This Row],[Net_Profit]]/tbl_financials[[#This Row],[Revenue]])</f>
        <v>-7.5552882205513761E-2</v>
      </c>
      <c r="V248" s="11" t="str">
        <f>tbl_financials[[#This Row],[Month_Name]] &amp; "_" &amp; tbl_financials[[#This Row],[Year]]</f>
        <v>October_2014</v>
      </c>
      <c r="W248" s="11" t="str">
        <f>tbl_financials[[#This Row],[Month_Name]] &amp; "_" &amp; (tbl_financials[[#This Row],[Year]]-1)</f>
        <v>October_2013</v>
      </c>
      <c r="X24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1.3708695652173912</v>
      </c>
    </row>
    <row r="249" spans="1:24" x14ac:dyDescent="0.3">
      <c r="A249" t="s">
        <v>6</v>
      </c>
      <c r="B249" t="s">
        <v>15</v>
      </c>
      <c r="C249" t="s">
        <v>34</v>
      </c>
      <c r="D249" t="s">
        <v>40</v>
      </c>
      <c r="E249" s="9">
        <v>704</v>
      </c>
      <c r="F249" s="7">
        <v>10</v>
      </c>
      <c r="G249" s="7">
        <v>125</v>
      </c>
      <c r="H249" s="7">
        <v>88000</v>
      </c>
      <c r="I249" s="5">
        <v>4400</v>
      </c>
      <c r="J249" s="5">
        <v>83600</v>
      </c>
      <c r="K249" s="7">
        <v>84480</v>
      </c>
      <c r="L249" s="5">
        <v>-880</v>
      </c>
      <c r="M249" s="1">
        <v>41548</v>
      </c>
      <c r="N249">
        <v>10</v>
      </c>
      <c r="O249" t="s">
        <v>27</v>
      </c>
      <c r="P249" t="s">
        <v>11</v>
      </c>
      <c r="Q249" s="5">
        <f>tbl_financials[[#This Row],[Net_Sales]]</f>
        <v>83600</v>
      </c>
      <c r="R249" s="5">
        <f>ROUND(tbl_financials[[#This Row],[Revenue]]*(0.12+MOD(ROW(),7)/100),2)</f>
        <v>13376</v>
      </c>
      <c r="S249" s="7">
        <f t="shared" si="3"/>
        <v>8719</v>
      </c>
      <c r="T249" s="5">
        <f>tbl_financials[[#This Row],[Gross_Profit]]-tbl_financials[[#This Row],[Operating_Expenses]]+tbl_financials[[#This Row],[Other_Income]]</f>
        <v>-5537</v>
      </c>
      <c r="U249" s="11">
        <f>IF(tbl_financials[[#This Row],[Revenue]]=0,0,tbl_financials[[#This Row],[Net_Profit]]/tbl_financials[[#This Row],[Revenue]])</f>
        <v>-6.6232057416267948E-2</v>
      </c>
      <c r="V249" s="11" t="str">
        <f>tbl_financials[[#This Row],[Month_Name]] &amp; "_" &amp; tbl_financials[[#This Row],[Year]]</f>
        <v>October_2013</v>
      </c>
      <c r="W249" s="11" t="str">
        <f>tbl_financials[[#This Row],[Month_Name]] &amp; "_" &amp; (tbl_financials[[#This Row],[Year]]-1)</f>
        <v>October_2012</v>
      </c>
      <c r="X24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50" spans="1:24" x14ac:dyDescent="0.3">
      <c r="A250" t="s">
        <v>7</v>
      </c>
      <c r="B250" t="s">
        <v>13</v>
      </c>
      <c r="C250" t="s">
        <v>34</v>
      </c>
      <c r="D250" t="s">
        <v>40</v>
      </c>
      <c r="E250" s="9">
        <v>1802</v>
      </c>
      <c r="F250" s="7">
        <v>10</v>
      </c>
      <c r="G250" s="7">
        <v>20</v>
      </c>
      <c r="H250" s="7">
        <v>36040</v>
      </c>
      <c r="I250" s="5">
        <v>1802</v>
      </c>
      <c r="J250" s="5">
        <v>34238</v>
      </c>
      <c r="K250" s="7">
        <v>18020</v>
      </c>
      <c r="L250" s="5">
        <v>16218</v>
      </c>
      <c r="M250" s="1">
        <v>41609</v>
      </c>
      <c r="N250">
        <v>12</v>
      </c>
      <c r="O250" t="s">
        <v>29</v>
      </c>
      <c r="P250" t="s">
        <v>11</v>
      </c>
      <c r="Q250" s="5">
        <f>tbl_financials[[#This Row],[Net_Sales]]</f>
        <v>34238</v>
      </c>
      <c r="R250" s="5">
        <f>ROUND(tbl_financials[[#This Row],[Revenue]]*(0.12+MOD(ROW(),7)/100),2)</f>
        <v>5820.46</v>
      </c>
      <c r="S250" s="7">
        <f t="shared" si="3"/>
        <v>8750</v>
      </c>
      <c r="T250" s="5">
        <f>tbl_financials[[#This Row],[Gross_Profit]]-tbl_financials[[#This Row],[Operating_Expenses]]+tbl_financials[[#This Row],[Other_Income]]</f>
        <v>19147.54</v>
      </c>
      <c r="U250" s="11">
        <f>IF(tbl_financials[[#This Row],[Revenue]]=0,0,tbl_financials[[#This Row],[Net_Profit]]/tbl_financials[[#This Row],[Revenue]])</f>
        <v>0.55924820375021911</v>
      </c>
      <c r="V250" s="11" t="str">
        <f>tbl_financials[[#This Row],[Month_Name]] &amp; "_" &amp; tbl_financials[[#This Row],[Year]]</f>
        <v>December_2013</v>
      </c>
      <c r="W250" s="11" t="str">
        <f>tbl_financials[[#This Row],[Month_Name]] &amp; "_" &amp; (tbl_financials[[#This Row],[Year]]-1)</f>
        <v>December_2012</v>
      </c>
      <c r="X25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51" spans="1:24" x14ac:dyDescent="0.3">
      <c r="A251" t="s">
        <v>7</v>
      </c>
      <c r="B251" t="s">
        <v>14</v>
      </c>
      <c r="C251" t="s">
        <v>34</v>
      </c>
      <c r="D251" t="s">
        <v>40</v>
      </c>
      <c r="E251" s="9">
        <v>2663</v>
      </c>
      <c r="F251" s="7">
        <v>10</v>
      </c>
      <c r="G251" s="7">
        <v>20</v>
      </c>
      <c r="H251" s="7">
        <v>53260</v>
      </c>
      <c r="I251" s="5">
        <v>2663</v>
      </c>
      <c r="J251" s="5">
        <v>50597</v>
      </c>
      <c r="K251" s="7">
        <v>26630</v>
      </c>
      <c r="L251" s="5">
        <v>23967</v>
      </c>
      <c r="M251" s="1">
        <v>41974</v>
      </c>
      <c r="N251">
        <v>12</v>
      </c>
      <c r="O251" t="s">
        <v>29</v>
      </c>
      <c r="P251" t="s">
        <v>12</v>
      </c>
      <c r="Q251" s="5">
        <f>tbl_financials[[#This Row],[Net_Sales]]</f>
        <v>50597</v>
      </c>
      <c r="R251" s="5">
        <f>ROUND(tbl_financials[[#This Row],[Revenue]]*(0.12+MOD(ROW(),7)/100),2)</f>
        <v>9107.4599999999991</v>
      </c>
      <c r="S251" s="7">
        <f t="shared" si="3"/>
        <v>8781</v>
      </c>
      <c r="T251" s="5">
        <f>tbl_financials[[#This Row],[Gross_Profit]]-tbl_financials[[#This Row],[Operating_Expenses]]+tbl_financials[[#This Row],[Other_Income]]</f>
        <v>23640.54</v>
      </c>
      <c r="U251" s="11">
        <f>IF(tbl_financials[[#This Row],[Revenue]]=0,0,tbl_financials[[#This Row],[Net_Profit]]/tbl_financials[[#This Row],[Revenue]])</f>
        <v>0.467232049330988</v>
      </c>
      <c r="V251" s="11" t="str">
        <f>tbl_financials[[#This Row],[Month_Name]] &amp; "_" &amp; tbl_financials[[#This Row],[Year]]</f>
        <v>December_2014</v>
      </c>
      <c r="W251" s="11" t="str">
        <f>tbl_financials[[#This Row],[Month_Name]] &amp; "_" &amp; (tbl_financials[[#This Row],[Year]]-1)</f>
        <v>December_2013</v>
      </c>
      <c r="X25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0.56744114002478319</v>
      </c>
    </row>
    <row r="252" spans="1:24" x14ac:dyDescent="0.3">
      <c r="A252" t="s">
        <v>7</v>
      </c>
      <c r="B252" t="s">
        <v>15</v>
      </c>
      <c r="C252" t="s">
        <v>34</v>
      </c>
      <c r="D252" t="s">
        <v>40</v>
      </c>
      <c r="E252" s="9">
        <v>2136</v>
      </c>
      <c r="F252" s="7">
        <v>10</v>
      </c>
      <c r="G252" s="7">
        <v>7</v>
      </c>
      <c r="H252" s="7">
        <v>14952</v>
      </c>
      <c r="I252" s="5">
        <v>747.6</v>
      </c>
      <c r="J252" s="5">
        <v>14204.4</v>
      </c>
      <c r="K252" s="7">
        <v>10680</v>
      </c>
      <c r="L252" s="5">
        <v>3524.3999999999901</v>
      </c>
      <c r="M252" s="1">
        <v>41609</v>
      </c>
      <c r="N252">
        <v>12</v>
      </c>
      <c r="O252" t="s">
        <v>29</v>
      </c>
      <c r="P252" t="s">
        <v>11</v>
      </c>
      <c r="Q252" s="5">
        <f>tbl_financials[[#This Row],[Net_Sales]]</f>
        <v>14204.4</v>
      </c>
      <c r="R252" s="5">
        <f>ROUND(tbl_financials[[#This Row],[Revenue]]*(0.12+MOD(ROW(),7)/100),2)</f>
        <v>1704.53</v>
      </c>
      <c r="S252" s="7">
        <f t="shared" si="3"/>
        <v>8812</v>
      </c>
      <c r="T252" s="5">
        <f>tbl_financials[[#This Row],[Gross_Profit]]-tbl_financials[[#This Row],[Operating_Expenses]]+tbl_financials[[#This Row],[Other_Income]]</f>
        <v>10631.86999999999</v>
      </c>
      <c r="U252" s="11">
        <f>IF(tbl_financials[[#This Row],[Revenue]]=0,0,tbl_financials[[#This Row],[Net_Profit]]/tbl_financials[[#This Row],[Revenue]])</f>
        <v>0.74849131255103984</v>
      </c>
      <c r="V252" s="11" t="str">
        <f>tbl_financials[[#This Row],[Month_Name]] &amp; "_" &amp; tbl_financials[[#This Row],[Year]]</f>
        <v>December_2013</v>
      </c>
      <c r="W252" s="11" t="str">
        <f>tbl_financials[[#This Row],[Month_Name]] &amp; "_" &amp; (tbl_financials[[#This Row],[Year]]-1)</f>
        <v>December_2012</v>
      </c>
      <c r="X25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53" spans="1:24" x14ac:dyDescent="0.3">
      <c r="A253" t="s">
        <v>5</v>
      </c>
      <c r="B253" t="s">
        <v>16</v>
      </c>
      <c r="C253" t="s">
        <v>34</v>
      </c>
      <c r="D253" t="s">
        <v>40</v>
      </c>
      <c r="E253" s="9">
        <v>2116</v>
      </c>
      <c r="F253" s="7">
        <v>10</v>
      </c>
      <c r="G253" s="7">
        <v>15</v>
      </c>
      <c r="H253" s="7">
        <v>31740</v>
      </c>
      <c r="I253" s="5">
        <v>1587</v>
      </c>
      <c r="J253" s="5">
        <v>30153</v>
      </c>
      <c r="K253" s="7">
        <v>21160</v>
      </c>
      <c r="L253" s="5">
        <v>8993</v>
      </c>
      <c r="M253" s="1">
        <v>41609</v>
      </c>
      <c r="N253">
        <v>12</v>
      </c>
      <c r="O253" t="s">
        <v>29</v>
      </c>
      <c r="P253" t="s">
        <v>11</v>
      </c>
      <c r="Q253" s="5">
        <f>tbl_financials[[#This Row],[Net_Sales]]</f>
        <v>30153</v>
      </c>
      <c r="R253" s="5">
        <f>ROUND(tbl_financials[[#This Row],[Revenue]]*(0.12+MOD(ROW(),7)/100),2)</f>
        <v>3919.89</v>
      </c>
      <c r="S253" s="7">
        <f t="shared" si="3"/>
        <v>8843</v>
      </c>
      <c r="T253" s="5">
        <f>tbl_financials[[#This Row],[Gross_Profit]]-tbl_financials[[#This Row],[Operating_Expenses]]+tbl_financials[[#This Row],[Other_Income]]</f>
        <v>13916.11</v>
      </c>
      <c r="U253" s="11">
        <f>IF(tbl_financials[[#This Row],[Revenue]]=0,0,tbl_financials[[#This Row],[Net_Profit]]/tbl_financials[[#This Row],[Revenue]])</f>
        <v>0.461516598680065</v>
      </c>
      <c r="V253" s="11" t="str">
        <f>tbl_financials[[#This Row],[Month_Name]] &amp; "_" &amp; tbl_financials[[#This Row],[Year]]</f>
        <v>December_2013</v>
      </c>
      <c r="W253" s="11" t="str">
        <f>tbl_financials[[#This Row],[Month_Name]] &amp; "_" &amp; (tbl_financials[[#This Row],[Year]]-1)</f>
        <v>December_2012</v>
      </c>
      <c r="X25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54" spans="1:24" x14ac:dyDescent="0.3">
      <c r="A254" t="s">
        <v>5</v>
      </c>
      <c r="B254" t="s">
        <v>14</v>
      </c>
      <c r="C254" t="s">
        <v>35</v>
      </c>
      <c r="D254" t="s">
        <v>40</v>
      </c>
      <c r="E254" s="9">
        <v>555</v>
      </c>
      <c r="F254" s="7">
        <v>120</v>
      </c>
      <c r="G254" s="7">
        <v>15</v>
      </c>
      <c r="H254" s="7">
        <v>8325</v>
      </c>
      <c r="I254" s="5">
        <v>416.25</v>
      </c>
      <c r="J254" s="5">
        <v>7908.75</v>
      </c>
      <c r="K254" s="7">
        <v>5550</v>
      </c>
      <c r="L254" s="5">
        <v>2358.75</v>
      </c>
      <c r="M254" s="1">
        <v>41640</v>
      </c>
      <c r="N254">
        <v>1</v>
      </c>
      <c r="O254" t="s">
        <v>18</v>
      </c>
      <c r="P254" t="s">
        <v>12</v>
      </c>
      <c r="Q254" s="5">
        <f>tbl_financials[[#This Row],[Net_Sales]]</f>
        <v>7908.75</v>
      </c>
      <c r="R254" s="5">
        <f>ROUND(tbl_financials[[#This Row],[Revenue]]*(0.12+MOD(ROW(),7)/100),2)</f>
        <v>1107.23</v>
      </c>
      <c r="S254" s="7">
        <f t="shared" si="3"/>
        <v>8874</v>
      </c>
      <c r="T254" s="5">
        <f>tbl_financials[[#This Row],[Gross_Profit]]-tbl_financials[[#This Row],[Operating_Expenses]]+tbl_financials[[#This Row],[Other_Income]]</f>
        <v>10125.52</v>
      </c>
      <c r="U254" s="11">
        <f>IF(tbl_financials[[#This Row],[Revenue]]=0,0,tbl_financials[[#This Row],[Net_Profit]]/tbl_financials[[#This Row],[Revenue]])</f>
        <v>1.2802933459775565</v>
      </c>
      <c r="V254" s="11" t="str">
        <f>tbl_financials[[#This Row],[Month_Name]] &amp; "_" &amp; tbl_financials[[#This Row],[Year]]</f>
        <v>January_2014</v>
      </c>
      <c r="W254" s="11" t="str">
        <f>tbl_financials[[#This Row],[Month_Name]] &amp; "_" &amp; (tbl_financials[[#This Row],[Year]]-1)</f>
        <v>January_2013</v>
      </c>
      <c r="X25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55" spans="1:24" x14ac:dyDescent="0.3">
      <c r="A255" t="s">
        <v>5</v>
      </c>
      <c r="B255" t="s">
        <v>17</v>
      </c>
      <c r="C255" t="s">
        <v>35</v>
      </c>
      <c r="D255" t="s">
        <v>40</v>
      </c>
      <c r="E255" s="9">
        <v>2861</v>
      </c>
      <c r="F255" s="7">
        <v>120</v>
      </c>
      <c r="G255" s="7">
        <v>15</v>
      </c>
      <c r="H255" s="7">
        <v>42915</v>
      </c>
      <c r="I255" s="5">
        <v>2145.75</v>
      </c>
      <c r="J255" s="5">
        <v>40769.25</v>
      </c>
      <c r="K255" s="7">
        <v>28610</v>
      </c>
      <c r="L255" s="5">
        <v>12159.25</v>
      </c>
      <c r="M255" s="1">
        <v>41640</v>
      </c>
      <c r="N255">
        <v>1</v>
      </c>
      <c r="O255" t="s">
        <v>18</v>
      </c>
      <c r="P255" t="s">
        <v>12</v>
      </c>
      <c r="Q255" s="5">
        <f>tbl_financials[[#This Row],[Net_Sales]]</f>
        <v>40769.25</v>
      </c>
      <c r="R255" s="5">
        <f>ROUND(tbl_financials[[#This Row],[Revenue]]*(0.12+MOD(ROW(),7)/100),2)</f>
        <v>6115.39</v>
      </c>
      <c r="S255" s="7">
        <f t="shared" si="3"/>
        <v>8905</v>
      </c>
      <c r="T255" s="5">
        <f>tbl_financials[[#This Row],[Gross_Profit]]-tbl_financials[[#This Row],[Operating_Expenses]]+tbl_financials[[#This Row],[Other_Income]]</f>
        <v>14948.86</v>
      </c>
      <c r="U255" s="11">
        <f>IF(tbl_financials[[#This Row],[Revenue]]=0,0,tbl_financials[[#This Row],[Net_Profit]]/tbl_financials[[#This Row],[Revenue]])</f>
        <v>0.36666997798585943</v>
      </c>
      <c r="V255" s="11" t="str">
        <f>tbl_financials[[#This Row],[Month_Name]] &amp; "_" &amp; tbl_financials[[#This Row],[Year]]</f>
        <v>January_2014</v>
      </c>
      <c r="W255" s="11" t="str">
        <f>tbl_financials[[#This Row],[Month_Name]] &amp; "_" &amp; (tbl_financials[[#This Row],[Year]]-1)</f>
        <v>January_2013</v>
      </c>
      <c r="X25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56" spans="1:24" x14ac:dyDescent="0.3">
      <c r="A256" t="s">
        <v>6</v>
      </c>
      <c r="B256" t="s">
        <v>16</v>
      </c>
      <c r="C256" t="s">
        <v>35</v>
      </c>
      <c r="D256" t="s">
        <v>40</v>
      </c>
      <c r="E256" s="9">
        <v>807</v>
      </c>
      <c r="F256" s="7">
        <v>120</v>
      </c>
      <c r="G256" s="7">
        <v>125</v>
      </c>
      <c r="H256" s="7">
        <v>100875</v>
      </c>
      <c r="I256" s="5">
        <v>5043.75</v>
      </c>
      <c r="J256" s="5">
        <v>95831.25</v>
      </c>
      <c r="K256" s="7">
        <v>96840</v>
      </c>
      <c r="L256" s="5">
        <v>-1008.75</v>
      </c>
      <c r="M256" s="1">
        <v>41671</v>
      </c>
      <c r="N256">
        <v>2</v>
      </c>
      <c r="O256" t="s">
        <v>19</v>
      </c>
      <c r="P256" t="s">
        <v>12</v>
      </c>
      <c r="Q256" s="5">
        <f>tbl_financials[[#This Row],[Net_Sales]]</f>
        <v>95831.25</v>
      </c>
      <c r="R256" s="5">
        <f>ROUND(tbl_financials[[#This Row],[Revenue]]*(0.12+MOD(ROW(),7)/100),2)</f>
        <v>15333</v>
      </c>
      <c r="S256" s="7">
        <f t="shared" si="3"/>
        <v>8936</v>
      </c>
      <c r="T256" s="5">
        <f>tbl_financials[[#This Row],[Gross_Profit]]-tbl_financials[[#This Row],[Operating_Expenses]]+tbl_financials[[#This Row],[Other_Income]]</f>
        <v>-7405.75</v>
      </c>
      <c r="U256" s="11">
        <f>IF(tbl_financials[[#This Row],[Revenue]]=0,0,tbl_financials[[#This Row],[Net_Profit]]/tbl_financials[[#This Row],[Revenue]])</f>
        <v>-7.7279071284158354E-2</v>
      </c>
      <c r="V256" s="11" t="str">
        <f>tbl_financials[[#This Row],[Month_Name]] &amp; "_" &amp; tbl_financials[[#This Row],[Year]]</f>
        <v>February_2014</v>
      </c>
      <c r="W256" s="11" t="str">
        <f>tbl_financials[[#This Row],[Month_Name]] &amp; "_" &amp; (tbl_financials[[#This Row],[Year]]-1)</f>
        <v>February_2013</v>
      </c>
      <c r="X25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57" spans="1:24" x14ac:dyDescent="0.3">
      <c r="A257" t="s">
        <v>7</v>
      </c>
      <c r="B257" t="s">
        <v>14</v>
      </c>
      <c r="C257" t="s">
        <v>35</v>
      </c>
      <c r="D257" t="s">
        <v>40</v>
      </c>
      <c r="E257" s="9">
        <v>602</v>
      </c>
      <c r="F257" s="7">
        <v>120</v>
      </c>
      <c r="G257" s="7">
        <v>350</v>
      </c>
      <c r="H257" s="7">
        <v>210700</v>
      </c>
      <c r="I257" s="5">
        <v>10535</v>
      </c>
      <c r="J257" s="5">
        <v>200165</v>
      </c>
      <c r="K257" s="7">
        <v>156520</v>
      </c>
      <c r="L257" s="5">
        <v>43645</v>
      </c>
      <c r="M257" s="1">
        <v>41791</v>
      </c>
      <c r="N257">
        <v>6</v>
      </c>
      <c r="O257" t="s">
        <v>23</v>
      </c>
      <c r="P257" t="s">
        <v>12</v>
      </c>
      <c r="Q257" s="5">
        <f>tbl_financials[[#This Row],[Net_Sales]]</f>
        <v>200165</v>
      </c>
      <c r="R257" s="5">
        <f>ROUND(tbl_financials[[#This Row],[Revenue]]*(0.12+MOD(ROW(),7)/100),2)</f>
        <v>34028.050000000003</v>
      </c>
      <c r="S257" s="7">
        <f t="shared" si="3"/>
        <v>8967</v>
      </c>
      <c r="T257" s="5">
        <f>tbl_financials[[#This Row],[Gross_Profit]]-tbl_financials[[#This Row],[Operating_Expenses]]+tbl_financials[[#This Row],[Other_Income]]</f>
        <v>18583.949999999997</v>
      </c>
      <c r="U257" s="11">
        <f>IF(tbl_financials[[#This Row],[Revenue]]=0,0,tbl_financials[[#This Row],[Net_Profit]]/tbl_financials[[#This Row],[Revenue]])</f>
        <v>9.2843154397621946E-2</v>
      </c>
      <c r="V257" s="11" t="str">
        <f>tbl_financials[[#This Row],[Month_Name]] &amp; "_" &amp; tbl_financials[[#This Row],[Year]]</f>
        <v>June_2014</v>
      </c>
      <c r="W257" s="11" t="str">
        <f>tbl_financials[[#This Row],[Month_Name]] &amp; "_" &amp; (tbl_financials[[#This Row],[Year]]-1)</f>
        <v>June_2013</v>
      </c>
      <c r="X25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58" spans="1:24" x14ac:dyDescent="0.3">
      <c r="A258" t="s">
        <v>7</v>
      </c>
      <c r="B258" t="s">
        <v>14</v>
      </c>
      <c r="C258" t="s">
        <v>35</v>
      </c>
      <c r="D258" t="s">
        <v>40</v>
      </c>
      <c r="E258" s="9">
        <v>2832</v>
      </c>
      <c r="F258" s="7">
        <v>120</v>
      </c>
      <c r="G258" s="7">
        <v>20</v>
      </c>
      <c r="H258" s="7">
        <v>56640</v>
      </c>
      <c r="I258" s="5">
        <v>2832</v>
      </c>
      <c r="J258" s="5">
        <v>53808</v>
      </c>
      <c r="K258" s="7">
        <v>28320</v>
      </c>
      <c r="L258" s="5">
        <v>25488</v>
      </c>
      <c r="M258" s="1">
        <v>41852</v>
      </c>
      <c r="N258">
        <v>8</v>
      </c>
      <c r="O258" t="s">
        <v>25</v>
      </c>
      <c r="P258" t="s">
        <v>12</v>
      </c>
      <c r="Q258" s="5">
        <f>tbl_financials[[#This Row],[Net_Sales]]</f>
        <v>53808</v>
      </c>
      <c r="R258" s="5">
        <f>ROUND(tbl_financials[[#This Row],[Revenue]]*(0.12+MOD(ROW(),7)/100),2)</f>
        <v>9685.44</v>
      </c>
      <c r="S258" s="7">
        <f t="shared" ref="S258:S321" si="4">ROUND(1000+MOD(ROW()*31,9000),0)</f>
        <v>8998</v>
      </c>
      <c r="T258" s="5">
        <f>tbl_financials[[#This Row],[Gross_Profit]]-tbl_financials[[#This Row],[Operating_Expenses]]+tbl_financials[[#This Row],[Other_Income]]</f>
        <v>24800.559999999998</v>
      </c>
      <c r="U258" s="11">
        <f>IF(tbl_financials[[#This Row],[Revenue]]=0,0,tbl_financials[[#This Row],[Net_Profit]]/tbl_financials[[#This Row],[Revenue]])</f>
        <v>0.46090841510556047</v>
      </c>
      <c r="V258" s="11" t="str">
        <f>tbl_financials[[#This Row],[Month_Name]] &amp; "_" &amp; tbl_financials[[#This Row],[Year]]</f>
        <v>August_2014</v>
      </c>
      <c r="W258" s="11" t="str">
        <f>tbl_financials[[#This Row],[Month_Name]] &amp; "_" &amp; (tbl_financials[[#This Row],[Year]]-1)</f>
        <v>August_2013</v>
      </c>
      <c r="X25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59" spans="1:24" x14ac:dyDescent="0.3">
      <c r="A259" t="s">
        <v>7</v>
      </c>
      <c r="B259" t="s">
        <v>15</v>
      </c>
      <c r="C259" t="s">
        <v>35</v>
      </c>
      <c r="D259" t="s">
        <v>40</v>
      </c>
      <c r="E259" s="9">
        <v>1579</v>
      </c>
      <c r="F259" s="7">
        <v>120</v>
      </c>
      <c r="G259" s="7">
        <v>20</v>
      </c>
      <c r="H259" s="7">
        <v>31580</v>
      </c>
      <c r="I259" s="5">
        <v>1579</v>
      </c>
      <c r="J259" s="5">
        <v>30001</v>
      </c>
      <c r="K259" s="7">
        <v>15790</v>
      </c>
      <c r="L259" s="5">
        <v>14211</v>
      </c>
      <c r="M259" s="1">
        <v>41852</v>
      </c>
      <c r="N259">
        <v>8</v>
      </c>
      <c r="O259" t="s">
        <v>25</v>
      </c>
      <c r="P259" t="s">
        <v>12</v>
      </c>
      <c r="Q259" s="5">
        <f>tbl_financials[[#This Row],[Net_Sales]]</f>
        <v>30001</v>
      </c>
      <c r="R259" s="5">
        <f>ROUND(tbl_financials[[#This Row],[Revenue]]*(0.12+MOD(ROW(),7)/100),2)</f>
        <v>3600.12</v>
      </c>
      <c r="S259" s="7">
        <f t="shared" si="4"/>
        <v>9029</v>
      </c>
      <c r="T259" s="5">
        <f>tbl_financials[[#This Row],[Gross_Profit]]-tbl_financials[[#This Row],[Operating_Expenses]]+tbl_financials[[#This Row],[Other_Income]]</f>
        <v>19639.88</v>
      </c>
      <c r="U259" s="11">
        <f>IF(tbl_financials[[#This Row],[Revenue]]=0,0,tbl_financials[[#This Row],[Net_Profit]]/tbl_financials[[#This Row],[Revenue]])</f>
        <v>0.65464084530515654</v>
      </c>
      <c r="V259" s="11" t="str">
        <f>tbl_financials[[#This Row],[Month_Name]] &amp; "_" &amp; tbl_financials[[#This Row],[Year]]</f>
        <v>August_2014</v>
      </c>
      <c r="W259" s="11" t="str">
        <f>tbl_financials[[#This Row],[Month_Name]] &amp; "_" &amp; (tbl_financials[[#This Row],[Year]]-1)</f>
        <v>August_2013</v>
      </c>
      <c r="X25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60" spans="1:24" x14ac:dyDescent="0.3">
      <c r="A260" t="s">
        <v>6</v>
      </c>
      <c r="B260" t="s">
        <v>14</v>
      </c>
      <c r="C260" t="s">
        <v>35</v>
      </c>
      <c r="D260" t="s">
        <v>40</v>
      </c>
      <c r="E260" s="9">
        <v>861</v>
      </c>
      <c r="F260" s="7">
        <v>120</v>
      </c>
      <c r="G260" s="7">
        <v>125</v>
      </c>
      <c r="H260" s="7">
        <v>107625</v>
      </c>
      <c r="I260" s="5">
        <v>5381.25</v>
      </c>
      <c r="J260" s="5">
        <v>102243.75</v>
      </c>
      <c r="K260" s="7">
        <v>103320</v>
      </c>
      <c r="L260" s="5">
        <v>-1076.25</v>
      </c>
      <c r="M260" s="1">
        <v>41913</v>
      </c>
      <c r="N260">
        <v>10</v>
      </c>
      <c r="O260" t="s">
        <v>27</v>
      </c>
      <c r="P260" t="s">
        <v>12</v>
      </c>
      <c r="Q260" s="5">
        <f>tbl_financials[[#This Row],[Net_Sales]]</f>
        <v>102243.75</v>
      </c>
      <c r="R260" s="5">
        <f>ROUND(tbl_financials[[#This Row],[Revenue]]*(0.12+MOD(ROW(),7)/100),2)</f>
        <v>13291.69</v>
      </c>
      <c r="S260" s="7">
        <f t="shared" si="4"/>
        <v>9060</v>
      </c>
      <c r="T260" s="5">
        <f>tbl_financials[[#This Row],[Gross_Profit]]-tbl_financials[[#This Row],[Operating_Expenses]]+tbl_financials[[#This Row],[Other_Income]]</f>
        <v>-5307.9400000000005</v>
      </c>
      <c r="U260" s="11">
        <f>IF(tbl_financials[[#This Row],[Revenue]]=0,0,tbl_financials[[#This Row],[Net_Profit]]/tbl_financials[[#This Row],[Revenue]])</f>
        <v>-5.1914566905067551E-2</v>
      </c>
      <c r="V260" s="11" t="str">
        <f>tbl_financials[[#This Row],[Month_Name]] &amp; "_" &amp; tbl_financials[[#This Row],[Year]]</f>
        <v>October_2014</v>
      </c>
      <c r="W260" s="11" t="str">
        <f>tbl_financials[[#This Row],[Month_Name]] &amp; "_" &amp; (tbl_financials[[#This Row],[Year]]-1)</f>
        <v>October_2013</v>
      </c>
      <c r="X26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1.3708695652173912</v>
      </c>
    </row>
    <row r="261" spans="1:24" x14ac:dyDescent="0.3">
      <c r="A261" t="s">
        <v>6</v>
      </c>
      <c r="B261" t="s">
        <v>15</v>
      </c>
      <c r="C261" t="s">
        <v>35</v>
      </c>
      <c r="D261" t="s">
        <v>40</v>
      </c>
      <c r="E261" s="9">
        <v>704</v>
      </c>
      <c r="F261" s="7">
        <v>120</v>
      </c>
      <c r="G261" s="7">
        <v>125</v>
      </c>
      <c r="H261" s="7">
        <v>88000</v>
      </c>
      <c r="I261" s="5">
        <v>4400</v>
      </c>
      <c r="J261" s="5">
        <v>83600</v>
      </c>
      <c r="K261" s="7">
        <v>84480</v>
      </c>
      <c r="L261" s="5">
        <v>-880</v>
      </c>
      <c r="M261" s="1">
        <v>41548</v>
      </c>
      <c r="N261">
        <v>10</v>
      </c>
      <c r="O261" t="s">
        <v>27</v>
      </c>
      <c r="P261" t="s">
        <v>11</v>
      </c>
      <c r="Q261" s="5">
        <f>tbl_financials[[#This Row],[Net_Sales]]</f>
        <v>83600</v>
      </c>
      <c r="R261" s="5">
        <f>ROUND(tbl_financials[[#This Row],[Revenue]]*(0.12+MOD(ROW(),7)/100),2)</f>
        <v>11704</v>
      </c>
      <c r="S261" s="7">
        <f t="shared" si="4"/>
        <v>9091</v>
      </c>
      <c r="T261" s="5">
        <f>tbl_financials[[#This Row],[Gross_Profit]]-tbl_financials[[#This Row],[Operating_Expenses]]+tbl_financials[[#This Row],[Other_Income]]</f>
        <v>-3493</v>
      </c>
      <c r="U261" s="11">
        <f>IF(tbl_financials[[#This Row],[Revenue]]=0,0,tbl_financials[[#This Row],[Net_Profit]]/tbl_financials[[#This Row],[Revenue]])</f>
        <v>-4.1782296650717705E-2</v>
      </c>
      <c r="V261" s="11" t="str">
        <f>tbl_financials[[#This Row],[Month_Name]] &amp; "_" &amp; tbl_financials[[#This Row],[Year]]</f>
        <v>October_2013</v>
      </c>
      <c r="W261" s="11" t="str">
        <f>tbl_financials[[#This Row],[Month_Name]] &amp; "_" &amp; (tbl_financials[[#This Row],[Year]]-1)</f>
        <v>October_2012</v>
      </c>
      <c r="X26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62" spans="1:24" x14ac:dyDescent="0.3">
      <c r="A262" t="s">
        <v>7</v>
      </c>
      <c r="B262" t="s">
        <v>15</v>
      </c>
      <c r="C262" t="s">
        <v>35</v>
      </c>
      <c r="D262" t="s">
        <v>40</v>
      </c>
      <c r="E262" s="9">
        <v>1033</v>
      </c>
      <c r="F262" s="7">
        <v>120</v>
      </c>
      <c r="G262" s="7">
        <v>20</v>
      </c>
      <c r="H262" s="7">
        <v>20660</v>
      </c>
      <c r="I262" s="5">
        <v>1033</v>
      </c>
      <c r="J262" s="5">
        <v>19627</v>
      </c>
      <c r="K262" s="7">
        <v>10330</v>
      </c>
      <c r="L262" s="5">
        <v>9297</v>
      </c>
      <c r="M262" s="1">
        <v>41609</v>
      </c>
      <c r="N262">
        <v>12</v>
      </c>
      <c r="O262" t="s">
        <v>29</v>
      </c>
      <c r="P262" t="s">
        <v>11</v>
      </c>
      <c r="Q262" s="5">
        <f>tbl_financials[[#This Row],[Net_Sales]]</f>
        <v>19627</v>
      </c>
      <c r="R262" s="5">
        <f>ROUND(tbl_financials[[#This Row],[Revenue]]*(0.12+MOD(ROW(),7)/100),2)</f>
        <v>2944.05</v>
      </c>
      <c r="S262" s="7">
        <f t="shared" si="4"/>
        <v>9122</v>
      </c>
      <c r="T262" s="5">
        <f>tbl_financials[[#This Row],[Gross_Profit]]-tbl_financials[[#This Row],[Operating_Expenses]]+tbl_financials[[#This Row],[Other_Income]]</f>
        <v>15474.95</v>
      </c>
      <c r="U262" s="11">
        <f>IF(tbl_financials[[#This Row],[Revenue]]=0,0,tbl_financials[[#This Row],[Net_Profit]]/tbl_financials[[#This Row],[Revenue]])</f>
        <v>0.78845213226677535</v>
      </c>
      <c r="V262" s="11" t="str">
        <f>tbl_financials[[#This Row],[Month_Name]] &amp; "_" &amp; tbl_financials[[#This Row],[Year]]</f>
        <v>December_2013</v>
      </c>
      <c r="W262" s="11" t="str">
        <f>tbl_financials[[#This Row],[Month_Name]] &amp; "_" &amp; (tbl_financials[[#This Row],[Year]]-1)</f>
        <v>December_2012</v>
      </c>
      <c r="X26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63" spans="1:24" x14ac:dyDescent="0.3">
      <c r="A263" t="s">
        <v>4</v>
      </c>
      <c r="B263" t="s">
        <v>16</v>
      </c>
      <c r="C263" t="s">
        <v>35</v>
      </c>
      <c r="D263" t="s">
        <v>40</v>
      </c>
      <c r="E263" s="9">
        <v>1250</v>
      </c>
      <c r="F263" s="7">
        <v>120</v>
      </c>
      <c r="G263" s="7">
        <v>300</v>
      </c>
      <c r="H263" s="7">
        <v>375000</v>
      </c>
      <c r="I263" s="5">
        <v>18750</v>
      </c>
      <c r="J263" s="5">
        <v>356250</v>
      </c>
      <c r="K263" s="7">
        <v>312500</v>
      </c>
      <c r="L263" s="5">
        <v>43750</v>
      </c>
      <c r="M263" s="1">
        <v>41974</v>
      </c>
      <c r="N263">
        <v>12</v>
      </c>
      <c r="O263" t="s">
        <v>29</v>
      </c>
      <c r="P263" t="s">
        <v>12</v>
      </c>
      <c r="Q263" s="5">
        <f>tbl_financials[[#This Row],[Net_Sales]]</f>
        <v>356250</v>
      </c>
      <c r="R263" s="5">
        <f>ROUND(tbl_financials[[#This Row],[Revenue]]*(0.12+MOD(ROW(),7)/100),2)</f>
        <v>57000</v>
      </c>
      <c r="S263" s="7">
        <f t="shared" si="4"/>
        <v>9153</v>
      </c>
      <c r="T263" s="5">
        <f>tbl_financials[[#This Row],[Gross_Profit]]-tbl_financials[[#This Row],[Operating_Expenses]]+tbl_financials[[#This Row],[Other_Income]]</f>
        <v>-4097</v>
      </c>
      <c r="U263" s="11">
        <f>IF(tbl_financials[[#This Row],[Revenue]]=0,0,tbl_financials[[#This Row],[Net_Profit]]/tbl_financials[[#This Row],[Revenue]])</f>
        <v>-1.1500350877192983E-2</v>
      </c>
      <c r="V263" s="11" t="str">
        <f>tbl_financials[[#This Row],[Month_Name]] &amp; "_" &amp; tbl_financials[[#This Row],[Year]]</f>
        <v>December_2014</v>
      </c>
      <c r="W263" s="11" t="str">
        <f>tbl_financials[[#This Row],[Month_Name]] &amp; "_" &amp; (tbl_financials[[#This Row],[Year]]-1)</f>
        <v>December_2013</v>
      </c>
      <c r="X26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10.036245353159851</v>
      </c>
    </row>
    <row r="264" spans="1:24" x14ac:dyDescent="0.3">
      <c r="A264" t="s">
        <v>7</v>
      </c>
      <c r="B264" t="s">
        <v>13</v>
      </c>
      <c r="C264" t="s">
        <v>36</v>
      </c>
      <c r="D264" t="s">
        <v>40</v>
      </c>
      <c r="E264" s="9">
        <v>1389</v>
      </c>
      <c r="F264" s="7">
        <v>250</v>
      </c>
      <c r="G264" s="7">
        <v>20</v>
      </c>
      <c r="H264" s="7">
        <v>27780</v>
      </c>
      <c r="I264" s="5">
        <v>1389</v>
      </c>
      <c r="J264" s="5">
        <v>26391</v>
      </c>
      <c r="K264" s="7">
        <v>13890</v>
      </c>
      <c r="L264" s="5">
        <v>12501</v>
      </c>
      <c r="M264" s="1">
        <v>41548</v>
      </c>
      <c r="N264">
        <v>10</v>
      </c>
      <c r="O264" t="s">
        <v>27</v>
      </c>
      <c r="P264" t="s">
        <v>11</v>
      </c>
      <c r="Q264" s="5">
        <f>tbl_financials[[#This Row],[Net_Sales]]</f>
        <v>26391</v>
      </c>
      <c r="R264" s="5">
        <f>ROUND(tbl_financials[[#This Row],[Revenue]]*(0.12+MOD(ROW(),7)/100),2)</f>
        <v>4486.47</v>
      </c>
      <c r="S264" s="7">
        <f t="shared" si="4"/>
        <v>9184</v>
      </c>
      <c r="T264" s="5">
        <f>tbl_financials[[#This Row],[Gross_Profit]]-tbl_financials[[#This Row],[Operating_Expenses]]+tbl_financials[[#This Row],[Other_Income]]</f>
        <v>17198.53</v>
      </c>
      <c r="U264" s="11">
        <f>IF(tbl_financials[[#This Row],[Revenue]]=0,0,tbl_financials[[#This Row],[Net_Profit]]/tbl_financials[[#This Row],[Revenue]])</f>
        <v>0.65168163389034139</v>
      </c>
      <c r="V264" s="11" t="str">
        <f>tbl_financials[[#This Row],[Month_Name]] &amp; "_" &amp; tbl_financials[[#This Row],[Year]]</f>
        <v>October_2013</v>
      </c>
      <c r="W264" s="11" t="str">
        <f>tbl_financials[[#This Row],[Month_Name]] &amp; "_" &amp; (tbl_financials[[#This Row],[Year]]-1)</f>
        <v>October_2012</v>
      </c>
      <c r="X26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65" spans="1:24" x14ac:dyDescent="0.3">
      <c r="A265" t="s">
        <v>7</v>
      </c>
      <c r="B265" t="s">
        <v>14</v>
      </c>
      <c r="C265" t="s">
        <v>36</v>
      </c>
      <c r="D265" t="s">
        <v>40</v>
      </c>
      <c r="E265" s="9">
        <v>1265</v>
      </c>
      <c r="F265" s="7">
        <v>250</v>
      </c>
      <c r="G265" s="7">
        <v>20</v>
      </c>
      <c r="H265" s="7">
        <v>25300</v>
      </c>
      <c r="I265" s="5">
        <v>1265</v>
      </c>
      <c r="J265" s="5">
        <v>24035</v>
      </c>
      <c r="K265" s="7">
        <v>12650</v>
      </c>
      <c r="L265" s="5">
        <v>11385</v>
      </c>
      <c r="M265" s="1">
        <v>41579</v>
      </c>
      <c r="N265">
        <v>11</v>
      </c>
      <c r="O265" t="s">
        <v>28</v>
      </c>
      <c r="P265" t="s">
        <v>11</v>
      </c>
      <c r="Q265" s="5">
        <f>tbl_financials[[#This Row],[Net_Sales]]</f>
        <v>24035</v>
      </c>
      <c r="R265" s="5">
        <f>ROUND(tbl_financials[[#This Row],[Revenue]]*(0.12+MOD(ROW(),7)/100),2)</f>
        <v>4326.3</v>
      </c>
      <c r="S265" s="7">
        <f t="shared" si="4"/>
        <v>9215</v>
      </c>
      <c r="T265" s="5">
        <f>tbl_financials[[#This Row],[Gross_Profit]]-tbl_financials[[#This Row],[Operating_Expenses]]+tbl_financials[[#This Row],[Other_Income]]</f>
        <v>16273.7</v>
      </c>
      <c r="U265" s="11">
        <f>IF(tbl_financials[[#This Row],[Revenue]]=0,0,tbl_financials[[#This Row],[Net_Profit]]/tbl_financials[[#This Row],[Revenue]])</f>
        <v>0.67708342001248178</v>
      </c>
      <c r="V265" s="11" t="str">
        <f>tbl_financials[[#This Row],[Month_Name]] &amp; "_" &amp; tbl_financials[[#This Row],[Year]]</f>
        <v>November_2013</v>
      </c>
      <c r="W265" s="11" t="str">
        <f>tbl_financials[[#This Row],[Month_Name]] &amp; "_" &amp; (tbl_financials[[#This Row],[Year]]-1)</f>
        <v>November_2012</v>
      </c>
      <c r="X26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66" spans="1:24" x14ac:dyDescent="0.3">
      <c r="A266" t="s">
        <v>7</v>
      </c>
      <c r="B266" t="s">
        <v>16</v>
      </c>
      <c r="C266" t="s">
        <v>36</v>
      </c>
      <c r="D266" t="s">
        <v>40</v>
      </c>
      <c r="E266" s="9">
        <v>2297</v>
      </c>
      <c r="F266" s="7">
        <v>250</v>
      </c>
      <c r="G266" s="7">
        <v>20</v>
      </c>
      <c r="H266" s="7">
        <v>45940</v>
      </c>
      <c r="I266" s="5">
        <v>2297</v>
      </c>
      <c r="J266" s="5">
        <v>43643</v>
      </c>
      <c r="K266" s="7">
        <v>22970</v>
      </c>
      <c r="L266" s="5">
        <v>20673</v>
      </c>
      <c r="M266" s="1">
        <v>41579</v>
      </c>
      <c r="N266">
        <v>11</v>
      </c>
      <c r="O266" t="s">
        <v>28</v>
      </c>
      <c r="P266" t="s">
        <v>11</v>
      </c>
      <c r="Q266" s="5">
        <f>tbl_financials[[#This Row],[Net_Sales]]</f>
        <v>43643</v>
      </c>
      <c r="R266" s="5">
        <f>ROUND(tbl_financials[[#This Row],[Revenue]]*(0.12+MOD(ROW(),7)/100),2)</f>
        <v>5237.16</v>
      </c>
      <c r="S266" s="7">
        <f t="shared" si="4"/>
        <v>9246</v>
      </c>
      <c r="T266" s="5">
        <f>tbl_financials[[#This Row],[Gross_Profit]]-tbl_financials[[#This Row],[Operating_Expenses]]+tbl_financials[[#This Row],[Other_Income]]</f>
        <v>24681.84</v>
      </c>
      <c r="U266" s="11">
        <f>IF(tbl_financials[[#This Row],[Revenue]]=0,0,tbl_financials[[#This Row],[Net_Profit]]/tbl_financials[[#This Row],[Revenue]])</f>
        <v>0.56553949086909705</v>
      </c>
      <c r="V266" s="11" t="str">
        <f>tbl_financials[[#This Row],[Month_Name]] &amp; "_" &amp; tbl_financials[[#This Row],[Year]]</f>
        <v>November_2013</v>
      </c>
      <c r="W266" s="11" t="str">
        <f>tbl_financials[[#This Row],[Month_Name]] &amp; "_" &amp; (tbl_financials[[#This Row],[Year]]-1)</f>
        <v>November_2012</v>
      </c>
      <c r="X26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67" spans="1:24" x14ac:dyDescent="0.3">
      <c r="A267" t="s">
        <v>7</v>
      </c>
      <c r="B267" t="s">
        <v>14</v>
      </c>
      <c r="C267" t="s">
        <v>36</v>
      </c>
      <c r="D267" t="s">
        <v>40</v>
      </c>
      <c r="E267" s="9">
        <v>2663</v>
      </c>
      <c r="F267" s="7">
        <v>250</v>
      </c>
      <c r="G267" s="7">
        <v>20</v>
      </c>
      <c r="H267" s="7">
        <v>53260</v>
      </c>
      <c r="I267" s="5">
        <v>2663</v>
      </c>
      <c r="J267" s="5">
        <v>50597</v>
      </c>
      <c r="K267" s="7">
        <v>26630</v>
      </c>
      <c r="L267" s="5">
        <v>23967</v>
      </c>
      <c r="M267" s="1">
        <v>41974</v>
      </c>
      <c r="N267">
        <v>12</v>
      </c>
      <c r="O267" t="s">
        <v>29</v>
      </c>
      <c r="P267" t="s">
        <v>12</v>
      </c>
      <c r="Q267" s="5">
        <f>tbl_financials[[#This Row],[Net_Sales]]</f>
        <v>50597</v>
      </c>
      <c r="R267" s="5">
        <f>ROUND(tbl_financials[[#This Row],[Revenue]]*(0.12+MOD(ROW(),7)/100),2)</f>
        <v>6577.61</v>
      </c>
      <c r="S267" s="7">
        <f t="shared" si="4"/>
        <v>9277</v>
      </c>
      <c r="T267" s="5">
        <f>tbl_financials[[#This Row],[Gross_Profit]]-tbl_financials[[#This Row],[Operating_Expenses]]+tbl_financials[[#This Row],[Other_Income]]</f>
        <v>26666.39</v>
      </c>
      <c r="U267" s="11">
        <f>IF(tbl_financials[[#This Row],[Revenue]]=0,0,tbl_financials[[#This Row],[Net_Profit]]/tbl_financials[[#This Row],[Revenue]])</f>
        <v>0.5270350020752218</v>
      </c>
      <c r="V267" s="11" t="str">
        <f>tbl_financials[[#This Row],[Month_Name]] &amp; "_" &amp; tbl_financials[[#This Row],[Year]]</f>
        <v>December_2014</v>
      </c>
      <c r="W267" s="11" t="str">
        <f>tbl_financials[[#This Row],[Month_Name]] &amp; "_" &amp; (tbl_financials[[#This Row],[Year]]-1)</f>
        <v>December_2013</v>
      </c>
      <c r="X26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0.56744114002478319</v>
      </c>
    </row>
    <row r="268" spans="1:24" x14ac:dyDescent="0.3">
      <c r="A268" t="s">
        <v>7</v>
      </c>
      <c r="B268" t="s">
        <v>14</v>
      </c>
      <c r="C268" t="s">
        <v>36</v>
      </c>
      <c r="D268" t="s">
        <v>40</v>
      </c>
      <c r="E268" s="9">
        <v>570</v>
      </c>
      <c r="F268" s="7">
        <v>250</v>
      </c>
      <c r="G268" s="7">
        <v>7</v>
      </c>
      <c r="H268" s="7">
        <v>3990</v>
      </c>
      <c r="I268" s="5">
        <v>199.5</v>
      </c>
      <c r="J268" s="5">
        <v>3790.5</v>
      </c>
      <c r="K268" s="7">
        <v>2850</v>
      </c>
      <c r="L268" s="5">
        <v>940.5</v>
      </c>
      <c r="M268" s="1">
        <v>41974</v>
      </c>
      <c r="N268">
        <v>12</v>
      </c>
      <c r="O268" t="s">
        <v>29</v>
      </c>
      <c r="P268" t="s">
        <v>12</v>
      </c>
      <c r="Q268" s="5">
        <f>tbl_financials[[#This Row],[Net_Sales]]</f>
        <v>3790.5</v>
      </c>
      <c r="R268" s="5">
        <f>ROUND(tbl_financials[[#This Row],[Revenue]]*(0.12+MOD(ROW(),7)/100),2)</f>
        <v>530.66999999999996</v>
      </c>
      <c r="S268" s="7">
        <f t="shared" si="4"/>
        <v>9308</v>
      </c>
      <c r="T268" s="5">
        <f>tbl_financials[[#This Row],[Gross_Profit]]-tbl_financials[[#This Row],[Operating_Expenses]]+tbl_financials[[#This Row],[Other_Income]]</f>
        <v>9717.83</v>
      </c>
      <c r="U268" s="11">
        <f>IF(tbl_financials[[#This Row],[Revenue]]=0,0,tbl_financials[[#This Row],[Net_Profit]]/tbl_financials[[#This Row],[Revenue]])</f>
        <v>2.5637330167524075</v>
      </c>
      <c r="V268" s="11" t="str">
        <f>tbl_financials[[#This Row],[Month_Name]] &amp; "_" &amp; tbl_financials[[#This Row],[Year]]</f>
        <v>December_2014</v>
      </c>
      <c r="W268" s="11" t="str">
        <f>tbl_financials[[#This Row],[Month_Name]] &amp; "_" &amp; (tbl_financials[[#This Row],[Year]]-1)</f>
        <v>December_2013</v>
      </c>
      <c r="X26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-0.88257434944237922</v>
      </c>
    </row>
    <row r="269" spans="1:24" x14ac:dyDescent="0.3">
      <c r="A269" t="s">
        <v>7</v>
      </c>
      <c r="B269" t="s">
        <v>15</v>
      </c>
      <c r="C269" t="s">
        <v>36</v>
      </c>
      <c r="D269" t="s">
        <v>40</v>
      </c>
      <c r="E269" s="9">
        <v>2487</v>
      </c>
      <c r="F269" s="7">
        <v>250</v>
      </c>
      <c r="G269" s="7">
        <v>7</v>
      </c>
      <c r="H269" s="7">
        <v>17409</v>
      </c>
      <c r="I269" s="5">
        <v>870.45</v>
      </c>
      <c r="J269" s="5">
        <v>16538.55</v>
      </c>
      <c r="K269" s="7">
        <v>12435</v>
      </c>
      <c r="L269" s="5">
        <v>4103.5499999999902</v>
      </c>
      <c r="M269" s="1">
        <v>41974</v>
      </c>
      <c r="N269">
        <v>12</v>
      </c>
      <c r="O269" t="s">
        <v>29</v>
      </c>
      <c r="P269" t="s">
        <v>12</v>
      </c>
      <c r="Q269" s="5">
        <f>tbl_financials[[#This Row],[Net_Sales]]</f>
        <v>16538.55</v>
      </c>
      <c r="R269" s="5">
        <f>ROUND(tbl_financials[[#This Row],[Revenue]]*(0.12+MOD(ROW(),7)/100),2)</f>
        <v>2480.7800000000002</v>
      </c>
      <c r="S269" s="7">
        <f t="shared" si="4"/>
        <v>9339</v>
      </c>
      <c r="T269" s="5">
        <f>tbl_financials[[#This Row],[Gross_Profit]]-tbl_financials[[#This Row],[Operating_Expenses]]+tbl_financials[[#This Row],[Other_Income]]</f>
        <v>10961.76999999999</v>
      </c>
      <c r="U269" s="11">
        <f>IF(tbl_financials[[#This Row],[Revenue]]=0,0,tbl_financials[[#This Row],[Net_Profit]]/tbl_financials[[#This Row],[Revenue]])</f>
        <v>0.66280115245895133</v>
      </c>
      <c r="V269" s="11" t="str">
        <f>tbl_financials[[#This Row],[Month_Name]] &amp; "_" &amp; tbl_financials[[#This Row],[Year]]</f>
        <v>December_2014</v>
      </c>
      <c r="W269" s="11" t="str">
        <f>tbl_financials[[#This Row],[Month_Name]] &amp; "_" &amp; (tbl_financials[[#This Row],[Year]]-1)</f>
        <v>December_2013</v>
      </c>
      <c r="X26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-0.48765334572490709</v>
      </c>
    </row>
    <row r="270" spans="1:24" x14ac:dyDescent="0.3">
      <c r="A270" t="s">
        <v>7</v>
      </c>
      <c r="B270" t="s">
        <v>16</v>
      </c>
      <c r="C270" t="s">
        <v>37</v>
      </c>
      <c r="D270" t="s">
        <v>40</v>
      </c>
      <c r="E270" s="9">
        <v>1350</v>
      </c>
      <c r="F270" s="7">
        <v>260</v>
      </c>
      <c r="G270" s="7">
        <v>350</v>
      </c>
      <c r="H270" s="7">
        <v>472500</v>
      </c>
      <c r="I270" s="5">
        <v>23625</v>
      </c>
      <c r="J270" s="5">
        <v>448875</v>
      </c>
      <c r="K270" s="7">
        <v>351000</v>
      </c>
      <c r="L270" s="5">
        <v>97875</v>
      </c>
      <c r="M270" s="1">
        <v>41671</v>
      </c>
      <c r="N270">
        <v>2</v>
      </c>
      <c r="O270" t="s">
        <v>19</v>
      </c>
      <c r="P270" t="s">
        <v>12</v>
      </c>
      <c r="Q270" s="5">
        <f>tbl_financials[[#This Row],[Net_Sales]]</f>
        <v>448875</v>
      </c>
      <c r="R270" s="5">
        <f>ROUND(tbl_financials[[#This Row],[Revenue]]*(0.12+MOD(ROW(),7)/100),2)</f>
        <v>71820</v>
      </c>
      <c r="S270" s="7">
        <f t="shared" si="4"/>
        <v>9370</v>
      </c>
      <c r="T270" s="5">
        <f>tbl_financials[[#This Row],[Gross_Profit]]-tbl_financials[[#This Row],[Operating_Expenses]]+tbl_financials[[#This Row],[Other_Income]]</f>
        <v>35425</v>
      </c>
      <c r="U270" s="11">
        <f>IF(tbl_financials[[#This Row],[Revenue]]=0,0,tbl_financials[[#This Row],[Net_Profit]]/tbl_financials[[#This Row],[Revenue]])</f>
        <v>7.8919521024784181E-2</v>
      </c>
      <c r="V270" s="11" t="str">
        <f>tbl_financials[[#This Row],[Month_Name]] &amp; "_" &amp; tbl_financials[[#This Row],[Year]]</f>
        <v>February_2014</v>
      </c>
      <c r="W270" s="11" t="str">
        <f>tbl_financials[[#This Row],[Month_Name]] &amp; "_" &amp; (tbl_financials[[#This Row],[Year]]-1)</f>
        <v>February_2013</v>
      </c>
      <c r="X27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71" spans="1:24" x14ac:dyDescent="0.3">
      <c r="A271" t="s">
        <v>7</v>
      </c>
      <c r="B271" t="s">
        <v>13</v>
      </c>
      <c r="C271" t="s">
        <v>37</v>
      </c>
      <c r="D271" t="s">
        <v>40</v>
      </c>
      <c r="E271" s="9">
        <v>552</v>
      </c>
      <c r="F271" s="7">
        <v>260</v>
      </c>
      <c r="G271" s="7">
        <v>350</v>
      </c>
      <c r="H271" s="7">
        <v>193200</v>
      </c>
      <c r="I271" s="5">
        <v>9660</v>
      </c>
      <c r="J271" s="5">
        <v>183540</v>
      </c>
      <c r="K271" s="7">
        <v>143520</v>
      </c>
      <c r="L271" s="5">
        <v>40020</v>
      </c>
      <c r="M271" s="1">
        <v>41852</v>
      </c>
      <c r="N271">
        <v>8</v>
      </c>
      <c r="O271" t="s">
        <v>25</v>
      </c>
      <c r="P271" t="s">
        <v>12</v>
      </c>
      <c r="Q271" s="5">
        <f>tbl_financials[[#This Row],[Net_Sales]]</f>
        <v>183540</v>
      </c>
      <c r="R271" s="5">
        <f>ROUND(tbl_financials[[#This Row],[Revenue]]*(0.12+MOD(ROW(),7)/100),2)</f>
        <v>31201.8</v>
      </c>
      <c r="S271" s="7">
        <f t="shared" si="4"/>
        <v>9401</v>
      </c>
      <c r="T271" s="5">
        <f>tbl_financials[[#This Row],[Gross_Profit]]-tbl_financials[[#This Row],[Operating_Expenses]]+tbl_financials[[#This Row],[Other_Income]]</f>
        <v>18219.2</v>
      </c>
      <c r="U271" s="11">
        <f>IF(tbl_financials[[#This Row],[Revenue]]=0,0,tbl_financials[[#This Row],[Net_Profit]]/tbl_financials[[#This Row],[Revenue]])</f>
        <v>9.9265555192328658E-2</v>
      </c>
      <c r="V271" s="11" t="str">
        <f>tbl_financials[[#This Row],[Month_Name]] &amp; "_" &amp; tbl_financials[[#This Row],[Year]]</f>
        <v>August_2014</v>
      </c>
      <c r="W271" s="11" t="str">
        <f>tbl_financials[[#This Row],[Month_Name]] &amp; "_" &amp; (tbl_financials[[#This Row],[Year]]-1)</f>
        <v>August_2013</v>
      </c>
      <c r="X27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72" spans="1:24" x14ac:dyDescent="0.3">
      <c r="A272" t="s">
        <v>7</v>
      </c>
      <c r="B272" t="s">
        <v>13</v>
      </c>
      <c r="C272" t="s">
        <v>37</v>
      </c>
      <c r="D272" t="s">
        <v>40</v>
      </c>
      <c r="E272" s="9">
        <v>1228</v>
      </c>
      <c r="F272" s="7">
        <v>260</v>
      </c>
      <c r="G272" s="7">
        <v>350</v>
      </c>
      <c r="H272" s="7">
        <v>429800</v>
      </c>
      <c r="I272" s="5">
        <v>21490</v>
      </c>
      <c r="J272" s="5">
        <v>408310</v>
      </c>
      <c r="K272" s="7">
        <v>319280</v>
      </c>
      <c r="L272" s="5">
        <v>89030</v>
      </c>
      <c r="M272" s="1">
        <v>41548</v>
      </c>
      <c r="N272">
        <v>10</v>
      </c>
      <c r="O272" t="s">
        <v>27</v>
      </c>
      <c r="P272" t="s">
        <v>11</v>
      </c>
      <c r="Q272" s="5">
        <f>tbl_financials[[#This Row],[Net_Sales]]</f>
        <v>408310</v>
      </c>
      <c r="R272" s="5">
        <f>ROUND(tbl_financials[[#This Row],[Revenue]]*(0.12+MOD(ROW(),7)/100),2)</f>
        <v>73495.8</v>
      </c>
      <c r="S272" s="7">
        <f t="shared" si="4"/>
        <v>9432</v>
      </c>
      <c r="T272" s="5">
        <f>tbl_financials[[#This Row],[Gross_Profit]]-tbl_financials[[#This Row],[Operating_Expenses]]+tbl_financials[[#This Row],[Other_Income]]</f>
        <v>24966.199999999997</v>
      </c>
      <c r="U272" s="11">
        <f>IF(tbl_financials[[#This Row],[Revenue]]=0,0,tbl_financials[[#This Row],[Net_Profit]]/tbl_financials[[#This Row],[Revenue]])</f>
        <v>6.1145208297617E-2</v>
      </c>
      <c r="V272" s="11" t="str">
        <f>tbl_financials[[#This Row],[Month_Name]] &amp; "_" &amp; tbl_financials[[#This Row],[Year]]</f>
        <v>October_2013</v>
      </c>
      <c r="W272" s="11" t="str">
        <f>tbl_financials[[#This Row],[Month_Name]] &amp; "_" &amp; (tbl_financials[[#This Row],[Year]]-1)</f>
        <v>October_2012</v>
      </c>
      <c r="X27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73" spans="1:24" x14ac:dyDescent="0.3">
      <c r="A273" t="s">
        <v>4</v>
      </c>
      <c r="B273" t="s">
        <v>16</v>
      </c>
      <c r="C273" t="s">
        <v>37</v>
      </c>
      <c r="D273" t="s">
        <v>40</v>
      </c>
      <c r="E273" s="9">
        <v>1250</v>
      </c>
      <c r="F273" s="7">
        <v>260</v>
      </c>
      <c r="G273" s="7">
        <v>300</v>
      </c>
      <c r="H273" s="7">
        <v>375000</v>
      </c>
      <c r="I273" s="5">
        <v>18750</v>
      </c>
      <c r="J273" s="5">
        <v>356250</v>
      </c>
      <c r="K273" s="7">
        <v>312500</v>
      </c>
      <c r="L273" s="5">
        <v>43750</v>
      </c>
      <c r="M273" s="1">
        <v>41974</v>
      </c>
      <c r="N273">
        <v>12</v>
      </c>
      <c r="O273" t="s">
        <v>29</v>
      </c>
      <c r="P273" t="s">
        <v>12</v>
      </c>
      <c r="Q273" s="5">
        <f>tbl_financials[[#This Row],[Net_Sales]]</f>
        <v>356250</v>
      </c>
      <c r="R273" s="5">
        <f>ROUND(tbl_financials[[#This Row],[Revenue]]*(0.12+MOD(ROW(),7)/100),2)</f>
        <v>42750</v>
      </c>
      <c r="S273" s="7">
        <f t="shared" si="4"/>
        <v>9463</v>
      </c>
      <c r="T273" s="5">
        <f>tbl_financials[[#This Row],[Gross_Profit]]-tbl_financials[[#This Row],[Operating_Expenses]]+tbl_financials[[#This Row],[Other_Income]]</f>
        <v>10463</v>
      </c>
      <c r="U273" s="11">
        <f>IF(tbl_financials[[#This Row],[Revenue]]=0,0,tbl_financials[[#This Row],[Net_Profit]]/tbl_financials[[#This Row],[Revenue]])</f>
        <v>2.936982456140351E-2</v>
      </c>
      <c r="V273" s="11" t="str">
        <f>tbl_financials[[#This Row],[Month_Name]] &amp; "_" &amp; tbl_financials[[#This Row],[Year]]</f>
        <v>December_2014</v>
      </c>
      <c r="W273" s="11" t="str">
        <f>tbl_financials[[#This Row],[Month_Name]] &amp; "_" &amp; (tbl_financials[[#This Row],[Year]]-1)</f>
        <v>December_2013</v>
      </c>
      <c r="X27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10.036245353159851</v>
      </c>
    </row>
    <row r="274" spans="1:24" x14ac:dyDescent="0.3">
      <c r="A274" t="s">
        <v>5</v>
      </c>
      <c r="B274" t="s">
        <v>15</v>
      </c>
      <c r="C274" t="s">
        <v>34</v>
      </c>
      <c r="D274" t="s">
        <v>40</v>
      </c>
      <c r="E274" s="9">
        <v>3801</v>
      </c>
      <c r="F274" s="7">
        <v>10</v>
      </c>
      <c r="G274" s="7">
        <v>15</v>
      </c>
      <c r="H274" s="7">
        <v>57015</v>
      </c>
      <c r="I274" s="5">
        <v>3420.8999999999901</v>
      </c>
      <c r="J274" s="5">
        <v>53594.1</v>
      </c>
      <c r="K274" s="7">
        <v>38010</v>
      </c>
      <c r="L274" s="5">
        <v>15584.1</v>
      </c>
      <c r="M274" s="1">
        <v>41730</v>
      </c>
      <c r="N274">
        <v>4</v>
      </c>
      <c r="O274" t="s">
        <v>21</v>
      </c>
      <c r="P274" t="s">
        <v>12</v>
      </c>
      <c r="Q274" s="5">
        <f>tbl_financials[[#This Row],[Net_Sales]]</f>
        <v>53594.1</v>
      </c>
      <c r="R274" s="5">
        <f>ROUND(tbl_financials[[#This Row],[Revenue]]*(0.12+MOD(ROW(),7)/100),2)</f>
        <v>6967.23</v>
      </c>
      <c r="S274" s="7">
        <f t="shared" si="4"/>
        <v>9494</v>
      </c>
      <c r="T274" s="5">
        <f>tbl_financials[[#This Row],[Gross_Profit]]-tbl_financials[[#This Row],[Operating_Expenses]]+tbl_financials[[#This Row],[Other_Income]]</f>
        <v>18110.870000000003</v>
      </c>
      <c r="U274" s="11">
        <f>IF(tbl_financials[[#This Row],[Revenue]]=0,0,tbl_financials[[#This Row],[Net_Profit]]/tbl_financials[[#This Row],[Revenue]])</f>
        <v>0.33792656281195138</v>
      </c>
      <c r="V274" s="11" t="str">
        <f>tbl_financials[[#This Row],[Month_Name]] &amp; "_" &amp; tbl_financials[[#This Row],[Year]]</f>
        <v>April_2014</v>
      </c>
      <c r="W274" s="11" t="str">
        <f>tbl_financials[[#This Row],[Month_Name]] &amp; "_" &amp; (tbl_financials[[#This Row],[Year]]-1)</f>
        <v>April_2013</v>
      </c>
      <c r="X27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75" spans="1:24" x14ac:dyDescent="0.3">
      <c r="A275" t="s">
        <v>7</v>
      </c>
      <c r="B275" t="s">
        <v>14</v>
      </c>
      <c r="C275" t="s">
        <v>32</v>
      </c>
      <c r="D275" t="s">
        <v>40</v>
      </c>
      <c r="E275" s="9">
        <v>1117.5</v>
      </c>
      <c r="F275" s="7">
        <v>3</v>
      </c>
      <c r="G275" s="7">
        <v>20</v>
      </c>
      <c r="H275" s="7">
        <v>22350</v>
      </c>
      <c r="I275" s="5">
        <v>1341</v>
      </c>
      <c r="J275" s="5">
        <v>21009</v>
      </c>
      <c r="K275" s="7">
        <v>11175</v>
      </c>
      <c r="L275" s="5">
        <v>9834</v>
      </c>
      <c r="M275" s="1">
        <v>41640</v>
      </c>
      <c r="N275">
        <v>1</v>
      </c>
      <c r="O275" t="s">
        <v>18</v>
      </c>
      <c r="P275" t="s">
        <v>12</v>
      </c>
      <c r="Q275" s="5">
        <f>tbl_financials[[#This Row],[Net_Sales]]</f>
        <v>21009</v>
      </c>
      <c r="R275" s="5">
        <f>ROUND(tbl_financials[[#This Row],[Revenue]]*(0.12+MOD(ROW(),7)/100),2)</f>
        <v>2941.26</v>
      </c>
      <c r="S275" s="7">
        <f t="shared" si="4"/>
        <v>9525</v>
      </c>
      <c r="T275" s="5">
        <f>tbl_financials[[#This Row],[Gross_Profit]]-tbl_financials[[#This Row],[Operating_Expenses]]+tbl_financials[[#This Row],[Other_Income]]</f>
        <v>16417.739999999998</v>
      </c>
      <c r="U275" s="11">
        <f>IF(tbl_financials[[#This Row],[Revenue]]=0,0,tbl_financials[[#This Row],[Net_Profit]]/tbl_financials[[#This Row],[Revenue]])</f>
        <v>0.78146223047265451</v>
      </c>
      <c r="V275" s="11" t="str">
        <f>tbl_financials[[#This Row],[Month_Name]] &amp; "_" &amp; tbl_financials[[#This Row],[Year]]</f>
        <v>January_2014</v>
      </c>
      <c r="W275" s="11" t="str">
        <f>tbl_financials[[#This Row],[Month_Name]] &amp; "_" &amp; (tbl_financials[[#This Row],[Year]]-1)</f>
        <v>January_2013</v>
      </c>
      <c r="X27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76" spans="1:24" x14ac:dyDescent="0.3">
      <c r="A276" t="s">
        <v>5</v>
      </c>
      <c r="B276" t="s">
        <v>13</v>
      </c>
      <c r="C276" t="s">
        <v>32</v>
      </c>
      <c r="D276" t="s">
        <v>40</v>
      </c>
      <c r="E276" s="9">
        <v>2844</v>
      </c>
      <c r="F276" s="7">
        <v>3</v>
      </c>
      <c r="G276" s="7">
        <v>15</v>
      </c>
      <c r="H276" s="7">
        <v>42660</v>
      </c>
      <c r="I276" s="5">
        <v>2559.6</v>
      </c>
      <c r="J276" s="5">
        <v>40100.400000000001</v>
      </c>
      <c r="K276" s="7">
        <v>28440</v>
      </c>
      <c r="L276" s="5">
        <v>11660.4</v>
      </c>
      <c r="M276" s="1">
        <v>41791</v>
      </c>
      <c r="N276">
        <v>6</v>
      </c>
      <c r="O276" t="s">
        <v>23</v>
      </c>
      <c r="P276" t="s">
        <v>12</v>
      </c>
      <c r="Q276" s="5">
        <f>tbl_financials[[#This Row],[Net_Sales]]</f>
        <v>40100.400000000001</v>
      </c>
      <c r="R276" s="5">
        <f>ROUND(tbl_financials[[#This Row],[Revenue]]*(0.12+MOD(ROW(),7)/100),2)</f>
        <v>6015.06</v>
      </c>
      <c r="S276" s="7">
        <f t="shared" si="4"/>
        <v>9556</v>
      </c>
      <c r="T276" s="5">
        <f>tbl_financials[[#This Row],[Gross_Profit]]-tbl_financials[[#This Row],[Operating_Expenses]]+tbl_financials[[#This Row],[Other_Income]]</f>
        <v>15201.34</v>
      </c>
      <c r="U276" s="11">
        <f>IF(tbl_financials[[#This Row],[Revenue]]=0,0,tbl_financials[[#This Row],[Net_Profit]]/tbl_financials[[#This Row],[Revenue]])</f>
        <v>0.37908200416953447</v>
      </c>
      <c r="V276" s="11" t="str">
        <f>tbl_financials[[#This Row],[Month_Name]] &amp; "_" &amp; tbl_financials[[#This Row],[Year]]</f>
        <v>June_2014</v>
      </c>
      <c r="W276" s="11" t="str">
        <f>tbl_financials[[#This Row],[Month_Name]] &amp; "_" &amp; (tbl_financials[[#This Row],[Year]]-1)</f>
        <v>June_2013</v>
      </c>
      <c r="X27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77" spans="1:24" x14ac:dyDescent="0.3">
      <c r="A277" t="s">
        <v>8</v>
      </c>
      <c r="B277" t="s">
        <v>17</v>
      </c>
      <c r="C277" t="s">
        <v>32</v>
      </c>
      <c r="D277" t="s">
        <v>40</v>
      </c>
      <c r="E277" s="9">
        <v>562</v>
      </c>
      <c r="F277" s="7">
        <v>3</v>
      </c>
      <c r="G277" s="7">
        <v>12</v>
      </c>
      <c r="H277" s="7">
        <v>6744</v>
      </c>
      <c r="I277" s="5">
        <v>404.64</v>
      </c>
      <c r="J277" s="5">
        <v>6339.36</v>
      </c>
      <c r="K277" s="7">
        <v>1686</v>
      </c>
      <c r="L277" s="5">
        <v>4653.3599999999997</v>
      </c>
      <c r="M277" s="1">
        <v>41883</v>
      </c>
      <c r="N277">
        <v>9</v>
      </c>
      <c r="O277" t="s">
        <v>26</v>
      </c>
      <c r="P277" t="s">
        <v>12</v>
      </c>
      <c r="Q277" s="5">
        <f>tbl_financials[[#This Row],[Net_Sales]]</f>
        <v>6339.36</v>
      </c>
      <c r="R277" s="5">
        <f>ROUND(tbl_financials[[#This Row],[Revenue]]*(0.12+MOD(ROW(),7)/100),2)</f>
        <v>1014.3</v>
      </c>
      <c r="S277" s="7">
        <f t="shared" si="4"/>
        <v>9587</v>
      </c>
      <c r="T277" s="5">
        <f>tbl_financials[[#This Row],[Gross_Profit]]-tbl_financials[[#This Row],[Operating_Expenses]]+tbl_financials[[#This Row],[Other_Income]]</f>
        <v>13226.06</v>
      </c>
      <c r="U277" s="11">
        <f>IF(tbl_financials[[#This Row],[Revenue]]=0,0,tbl_financials[[#This Row],[Net_Profit]]/tbl_financials[[#This Row],[Revenue]])</f>
        <v>2.0863399459882386</v>
      </c>
      <c r="V277" s="11" t="str">
        <f>tbl_financials[[#This Row],[Month_Name]] &amp; "_" &amp; tbl_financials[[#This Row],[Year]]</f>
        <v>September_2014</v>
      </c>
      <c r="W277" s="11" t="str">
        <f>tbl_financials[[#This Row],[Month_Name]] &amp; "_" &amp; (tbl_financials[[#This Row],[Year]]-1)</f>
        <v>September_2013</v>
      </c>
      <c r="X27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-0.23019307832422589</v>
      </c>
    </row>
    <row r="278" spans="1:24" x14ac:dyDescent="0.3">
      <c r="A278" t="s">
        <v>8</v>
      </c>
      <c r="B278" t="s">
        <v>13</v>
      </c>
      <c r="C278" t="s">
        <v>32</v>
      </c>
      <c r="D278" t="s">
        <v>40</v>
      </c>
      <c r="E278" s="9">
        <v>2299</v>
      </c>
      <c r="F278" s="7">
        <v>3</v>
      </c>
      <c r="G278" s="7">
        <v>12</v>
      </c>
      <c r="H278" s="7">
        <v>27588</v>
      </c>
      <c r="I278" s="5">
        <v>1655.28</v>
      </c>
      <c r="J278" s="5">
        <v>25932.720000000001</v>
      </c>
      <c r="K278" s="7">
        <v>6897</v>
      </c>
      <c r="L278" s="5">
        <v>19035.72</v>
      </c>
      <c r="M278" s="1">
        <v>41548</v>
      </c>
      <c r="N278">
        <v>10</v>
      </c>
      <c r="O278" t="s">
        <v>27</v>
      </c>
      <c r="P278" t="s">
        <v>11</v>
      </c>
      <c r="Q278" s="5">
        <f>tbl_financials[[#This Row],[Net_Sales]]</f>
        <v>25932.720000000001</v>
      </c>
      <c r="R278" s="5">
        <f>ROUND(tbl_financials[[#This Row],[Revenue]]*(0.12+MOD(ROW(),7)/100),2)</f>
        <v>4408.5600000000004</v>
      </c>
      <c r="S278" s="7">
        <f t="shared" si="4"/>
        <v>9618</v>
      </c>
      <c r="T278" s="5">
        <f>tbl_financials[[#This Row],[Gross_Profit]]-tbl_financials[[#This Row],[Operating_Expenses]]+tbl_financials[[#This Row],[Other_Income]]</f>
        <v>24245.16</v>
      </c>
      <c r="U278" s="11">
        <f>IF(tbl_financials[[#This Row],[Revenue]]=0,0,tbl_financials[[#This Row],[Net_Profit]]/tbl_financials[[#This Row],[Revenue]])</f>
        <v>0.93492545324979404</v>
      </c>
      <c r="V278" s="11" t="str">
        <f>tbl_financials[[#This Row],[Month_Name]] &amp; "_" &amp; tbl_financials[[#This Row],[Year]]</f>
        <v>October_2013</v>
      </c>
      <c r="W278" s="11" t="str">
        <f>tbl_financials[[#This Row],[Month_Name]] &amp; "_" &amp; (tbl_financials[[#This Row],[Year]]-1)</f>
        <v>October_2012</v>
      </c>
      <c r="X27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79" spans="1:24" x14ac:dyDescent="0.3">
      <c r="A279" t="s">
        <v>5</v>
      </c>
      <c r="B279" t="s">
        <v>14</v>
      </c>
      <c r="C279" t="s">
        <v>32</v>
      </c>
      <c r="D279" t="s">
        <v>40</v>
      </c>
      <c r="E279" s="9">
        <v>2030</v>
      </c>
      <c r="F279" s="7">
        <v>3</v>
      </c>
      <c r="G279" s="7">
        <v>15</v>
      </c>
      <c r="H279" s="7">
        <v>30450</v>
      </c>
      <c r="I279" s="5">
        <v>1827</v>
      </c>
      <c r="J279" s="5">
        <v>28623</v>
      </c>
      <c r="K279" s="7">
        <v>20300</v>
      </c>
      <c r="L279" s="5">
        <v>8323</v>
      </c>
      <c r="M279" s="1">
        <v>41944</v>
      </c>
      <c r="N279">
        <v>11</v>
      </c>
      <c r="O279" t="s">
        <v>28</v>
      </c>
      <c r="P279" t="s">
        <v>12</v>
      </c>
      <c r="Q279" s="5">
        <f>tbl_financials[[#This Row],[Net_Sales]]</f>
        <v>28623</v>
      </c>
      <c r="R279" s="5">
        <f>ROUND(tbl_financials[[#This Row],[Revenue]]*(0.12+MOD(ROW(),7)/100),2)</f>
        <v>5152.1400000000003</v>
      </c>
      <c r="S279" s="7">
        <f t="shared" si="4"/>
        <v>9649</v>
      </c>
      <c r="T279" s="5">
        <f>tbl_financials[[#This Row],[Gross_Profit]]-tbl_financials[[#This Row],[Operating_Expenses]]+tbl_financials[[#This Row],[Other_Income]]</f>
        <v>12819.86</v>
      </c>
      <c r="U279" s="11">
        <f>IF(tbl_financials[[#This Row],[Revenue]]=0,0,tbl_financials[[#This Row],[Net_Profit]]/tbl_financials[[#This Row],[Revenue]])</f>
        <v>0.44788666457045034</v>
      </c>
      <c r="V279" s="11" t="str">
        <f>tbl_financials[[#This Row],[Month_Name]] &amp; "_" &amp; tbl_financials[[#This Row],[Year]]</f>
        <v>November_2014</v>
      </c>
      <c r="W279" s="11" t="str">
        <f>tbl_financials[[#This Row],[Month_Name]] &amp; "_" &amp; (tbl_financials[[#This Row],[Year]]-1)</f>
        <v>November_2013</v>
      </c>
      <c r="X27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-0.95259130434782613</v>
      </c>
    </row>
    <row r="280" spans="1:24" x14ac:dyDescent="0.3">
      <c r="A280" t="s">
        <v>7</v>
      </c>
      <c r="B280" t="s">
        <v>14</v>
      </c>
      <c r="C280" t="s">
        <v>32</v>
      </c>
      <c r="D280" t="s">
        <v>40</v>
      </c>
      <c r="E280" s="9">
        <v>263</v>
      </c>
      <c r="F280" s="7">
        <v>3</v>
      </c>
      <c r="G280" s="7">
        <v>7</v>
      </c>
      <c r="H280" s="7">
        <v>1841</v>
      </c>
      <c r="I280" s="5">
        <v>110.46</v>
      </c>
      <c r="J280" s="5">
        <v>1730.54</v>
      </c>
      <c r="K280" s="7">
        <v>1315</v>
      </c>
      <c r="L280" s="5">
        <v>415.539999999999</v>
      </c>
      <c r="M280" s="1">
        <v>41579</v>
      </c>
      <c r="N280">
        <v>11</v>
      </c>
      <c r="O280" t="s">
        <v>28</v>
      </c>
      <c r="P280" t="s">
        <v>11</v>
      </c>
      <c r="Q280" s="5">
        <f>tbl_financials[[#This Row],[Net_Sales]]</f>
        <v>1730.54</v>
      </c>
      <c r="R280" s="5">
        <f>ROUND(tbl_financials[[#This Row],[Revenue]]*(0.12+MOD(ROW(),7)/100),2)</f>
        <v>207.66</v>
      </c>
      <c r="S280" s="7">
        <f t="shared" si="4"/>
        <v>9680</v>
      </c>
      <c r="T280" s="5">
        <f>tbl_financials[[#This Row],[Gross_Profit]]-tbl_financials[[#This Row],[Operating_Expenses]]+tbl_financials[[#This Row],[Other_Income]]</f>
        <v>9887.8799999999992</v>
      </c>
      <c r="U280" s="11">
        <f>IF(tbl_financials[[#This Row],[Revenue]]=0,0,tbl_financials[[#This Row],[Net_Profit]]/tbl_financials[[#This Row],[Revenue]])</f>
        <v>5.713754088319253</v>
      </c>
      <c r="V280" s="11" t="str">
        <f>tbl_financials[[#This Row],[Month_Name]] &amp; "_" &amp; tbl_financials[[#This Row],[Year]]</f>
        <v>November_2013</v>
      </c>
      <c r="W280" s="11" t="str">
        <f>tbl_financials[[#This Row],[Month_Name]] &amp; "_" &amp; (tbl_financials[[#This Row],[Year]]-1)</f>
        <v>November_2012</v>
      </c>
      <c r="X28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81" spans="1:24" x14ac:dyDescent="0.3">
      <c r="A281" t="s">
        <v>6</v>
      </c>
      <c r="B281" t="s">
        <v>16</v>
      </c>
      <c r="C281" t="s">
        <v>32</v>
      </c>
      <c r="D281" t="s">
        <v>40</v>
      </c>
      <c r="E281" s="9">
        <v>887</v>
      </c>
      <c r="F281" s="7">
        <v>3</v>
      </c>
      <c r="G281" s="7">
        <v>125</v>
      </c>
      <c r="H281" s="7">
        <v>110875</v>
      </c>
      <c r="I281" s="5">
        <v>6652.5</v>
      </c>
      <c r="J281" s="5">
        <v>104222.5</v>
      </c>
      <c r="K281" s="7">
        <v>106440</v>
      </c>
      <c r="L281" s="5">
        <v>-2217.5</v>
      </c>
      <c r="M281" s="1">
        <v>41609</v>
      </c>
      <c r="N281">
        <v>12</v>
      </c>
      <c r="O281" t="s">
        <v>29</v>
      </c>
      <c r="P281" t="s">
        <v>11</v>
      </c>
      <c r="Q281" s="5">
        <f>tbl_financials[[#This Row],[Net_Sales]]</f>
        <v>104222.5</v>
      </c>
      <c r="R281" s="5">
        <f>ROUND(tbl_financials[[#This Row],[Revenue]]*(0.12+MOD(ROW(),7)/100),2)</f>
        <v>13548.93</v>
      </c>
      <c r="S281" s="7">
        <f t="shared" si="4"/>
        <v>9711</v>
      </c>
      <c r="T281" s="5">
        <f>tbl_financials[[#This Row],[Gross_Profit]]-tbl_financials[[#This Row],[Operating_Expenses]]+tbl_financials[[#This Row],[Other_Income]]</f>
        <v>-6055.43</v>
      </c>
      <c r="U281" s="11">
        <f>IF(tbl_financials[[#This Row],[Revenue]]=0,0,tbl_financials[[#This Row],[Net_Profit]]/tbl_financials[[#This Row],[Revenue]])</f>
        <v>-5.8100985871572843E-2</v>
      </c>
      <c r="V281" s="11" t="str">
        <f>tbl_financials[[#This Row],[Month_Name]] &amp; "_" &amp; tbl_financials[[#This Row],[Year]]</f>
        <v>December_2013</v>
      </c>
      <c r="W281" s="11" t="str">
        <f>tbl_financials[[#This Row],[Month_Name]] &amp; "_" &amp; (tbl_financials[[#This Row],[Year]]-1)</f>
        <v>December_2012</v>
      </c>
      <c r="X28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82" spans="1:24" x14ac:dyDescent="0.3">
      <c r="A282" t="s">
        <v>7</v>
      </c>
      <c r="B282" t="s">
        <v>17</v>
      </c>
      <c r="C282" t="s">
        <v>33</v>
      </c>
      <c r="D282" t="s">
        <v>40</v>
      </c>
      <c r="E282" s="9">
        <v>980</v>
      </c>
      <c r="F282" s="7">
        <v>5</v>
      </c>
      <c r="G282" s="7">
        <v>350</v>
      </c>
      <c r="H282" s="7">
        <v>343000</v>
      </c>
      <c r="I282" s="5">
        <v>20580</v>
      </c>
      <c r="J282" s="5">
        <v>322420</v>
      </c>
      <c r="K282" s="7">
        <v>254800</v>
      </c>
      <c r="L282" s="5">
        <v>67620</v>
      </c>
      <c r="M282" s="1">
        <v>41730</v>
      </c>
      <c r="N282">
        <v>4</v>
      </c>
      <c r="O282" t="s">
        <v>21</v>
      </c>
      <c r="P282" t="s">
        <v>12</v>
      </c>
      <c r="Q282" s="5">
        <f>tbl_financials[[#This Row],[Net_Sales]]</f>
        <v>322420</v>
      </c>
      <c r="R282" s="5">
        <f>ROUND(tbl_financials[[#This Row],[Revenue]]*(0.12+MOD(ROW(),7)/100),2)</f>
        <v>45138.8</v>
      </c>
      <c r="S282" s="7">
        <f t="shared" si="4"/>
        <v>9742</v>
      </c>
      <c r="T282" s="5">
        <f>tbl_financials[[#This Row],[Gross_Profit]]-tbl_financials[[#This Row],[Operating_Expenses]]+tbl_financials[[#This Row],[Other_Income]]</f>
        <v>32223.199999999997</v>
      </c>
      <c r="U282" s="11">
        <f>IF(tbl_financials[[#This Row],[Revenue]]=0,0,tbl_financials[[#This Row],[Net_Profit]]/tbl_financials[[#This Row],[Revenue]])</f>
        <v>9.9941690962099122E-2</v>
      </c>
      <c r="V282" s="11" t="str">
        <f>tbl_financials[[#This Row],[Month_Name]] &amp; "_" &amp; tbl_financials[[#This Row],[Year]]</f>
        <v>April_2014</v>
      </c>
      <c r="W282" s="11" t="str">
        <f>tbl_financials[[#This Row],[Month_Name]] &amp; "_" &amp; (tbl_financials[[#This Row],[Year]]-1)</f>
        <v>April_2013</v>
      </c>
      <c r="X28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83" spans="1:24" x14ac:dyDescent="0.3">
      <c r="A283" t="s">
        <v>7</v>
      </c>
      <c r="B283" t="s">
        <v>16</v>
      </c>
      <c r="C283" t="s">
        <v>33</v>
      </c>
      <c r="D283" t="s">
        <v>40</v>
      </c>
      <c r="E283" s="9">
        <v>1460</v>
      </c>
      <c r="F283" s="7">
        <v>5</v>
      </c>
      <c r="G283" s="7">
        <v>350</v>
      </c>
      <c r="H283" s="7">
        <v>511000</v>
      </c>
      <c r="I283" s="5">
        <v>30660</v>
      </c>
      <c r="J283" s="5">
        <v>480340</v>
      </c>
      <c r="K283" s="7">
        <v>379600</v>
      </c>
      <c r="L283" s="5">
        <v>100740</v>
      </c>
      <c r="M283" s="1">
        <v>41760</v>
      </c>
      <c r="N283">
        <v>5</v>
      </c>
      <c r="O283" t="s">
        <v>22</v>
      </c>
      <c r="P283" t="s">
        <v>12</v>
      </c>
      <c r="Q283" s="5">
        <f>tbl_financials[[#This Row],[Net_Sales]]</f>
        <v>480340</v>
      </c>
      <c r="R283" s="5">
        <f>ROUND(tbl_financials[[#This Row],[Revenue]]*(0.12+MOD(ROW(),7)/100),2)</f>
        <v>72051</v>
      </c>
      <c r="S283" s="7">
        <f t="shared" si="4"/>
        <v>9773</v>
      </c>
      <c r="T283" s="5">
        <f>tbl_financials[[#This Row],[Gross_Profit]]-tbl_financials[[#This Row],[Operating_Expenses]]+tbl_financials[[#This Row],[Other_Income]]</f>
        <v>38462</v>
      </c>
      <c r="U283" s="11">
        <f>IF(tbl_financials[[#This Row],[Revenue]]=0,0,tbl_financials[[#This Row],[Net_Profit]]/tbl_financials[[#This Row],[Revenue]])</f>
        <v>8.0072448682183453E-2</v>
      </c>
      <c r="V283" s="11" t="str">
        <f>tbl_financials[[#This Row],[Month_Name]] &amp; "_" &amp; tbl_financials[[#This Row],[Year]]</f>
        <v>May_2014</v>
      </c>
      <c r="W283" s="11" t="str">
        <f>tbl_financials[[#This Row],[Month_Name]] &amp; "_" &amp; (tbl_financials[[#This Row],[Year]]-1)</f>
        <v>May_2013</v>
      </c>
      <c r="X28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84" spans="1:24" x14ac:dyDescent="0.3">
      <c r="A284" t="s">
        <v>7</v>
      </c>
      <c r="B284" t="s">
        <v>15</v>
      </c>
      <c r="C284" t="s">
        <v>33</v>
      </c>
      <c r="D284" t="s">
        <v>40</v>
      </c>
      <c r="E284" s="9">
        <v>1403</v>
      </c>
      <c r="F284" s="7">
        <v>5</v>
      </c>
      <c r="G284" s="7">
        <v>7</v>
      </c>
      <c r="H284" s="7">
        <v>9821</v>
      </c>
      <c r="I284" s="5">
        <v>589.26</v>
      </c>
      <c r="J284" s="5">
        <v>9231.74</v>
      </c>
      <c r="K284" s="7">
        <v>7015</v>
      </c>
      <c r="L284" s="5">
        <v>2216.7399999999998</v>
      </c>
      <c r="M284" s="1">
        <v>41548</v>
      </c>
      <c r="N284">
        <v>10</v>
      </c>
      <c r="O284" t="s">
        <v>27</v>
      </c>
      <c r="P284" t="s">
        <v>11</v>
      </c>
      <c r="Q284" s="5">
        <f>tbl_financials[[#This Row],[Net_Sales]]</f>
        <v>9231.74</v>
      </c>
      <c r="R284" s="5">
        <f>ROUND(tbl_financials[[#This Row],[Revenue]]*(0.12+MOD(ROW(),7)/100),2)</f>
        <v>1477.08</v>
      </c>
      <c r="S284" s="7">
        <f t="shared" si="4"/>
        <v>9804</v>
      </c>
      <c r="T284" s="5">
        <f>tbl_financials[[#This Row],[Gross_Profit]]-tbl_financials[[#This Row],[Operating_Expenses]]+tbl_financials[[#This Row],[Other_Income]]</f>
        <v>10543.66</v>
      </c>
      <c r="U284" s="11">
        <f>IF(tbl_financials[[#This Row],[Revenue]]=0,0,tbl_financials[[#This Row],[Net_Profit]]/tbl_financials[[#This Row],[Revenue]])</f>
        <v>1.1421097214609597</v>
      </c>
      <c r="V284" s="11" t="str">
        <f>tbl_financials[[#This Row],[Month_Name]] &amp; "_" &amp; tbl_financials[[#This Row],[Year]]</f>
        <v>October_2013</v>
      </c>
      <c r="W284" s="11" t="str">
        <f>tbl_financials[[#This Row],[Month_Name]] &amp; "_" &amp; (tbl_financials[[#This Row],[Year]]-1)</f>
        <v>October_2012</v>
      </c>
      <c r="X28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85" spans="1:24" x14ac:dyDescent="0.3">
      <c r="A285" t="s">
        <v>8</v>
      </c>
      <c r="B285" t="s">
        <v>14</v>
      </c>
      <c r="C285" t="s">
        <v>33</v>
      </c>
      <c r="D285" t="s">
        <v>40</v>
      </c>
      <c r="E285" s="9">
        <v>2723</v>
      </c>
      <c r="F285" s="7">
        <v>5</v>
      </c>
      <c r="G285" s="7">
        <v>12</v>
      </c>
      <c r="H285" s="7">
        <v>32676</v>
      </c>
      <c r="I285" s="5">
        <v>1960.56</v>
      </c>
      <c r="J285" s="5">
        <v>30715.439999999999</v>
      </c>
      <c r="K285" s="7">
        <v>8169</v>
      </c>
      <c r="L285" s="5">
        <v>22546.44</v>
      </c>
      <c r="M285" s="1">
        <v>41944</v>
      </c>
      <c r="N285">
        <v>11</v>
      </c>
      <c r="O285" t="s">
        <v>28</v>
      </c>
      <c r="P285" t="s">
        <v>12</v>
      </c>
      <c r="Q285" s="5">
        <f>tbl_financials[[#This Row],[Net_Sales]]</f>
        <v>30715.439999999999</v>
      </c>
      <c r="R285" s="5">
        <f>ROUND(tbl_financials[[#This Row],[Revenue]]*(0.12+MOD(ROW(),7)/100),2)</f>
        <v>5221.62</v>
      </c>
      <c r="S285" s="7">
        <f t="shared" si="4"/>
        <v>9835</v>
      </c>
      <c r="T285" s="5">
        <f>tbl_financials[[#This Row],[Gross_Profit]]-tbl_financials[[#This Row],[Operating_Expenses]]+tbl_financials[[#This Row],[Other_Income]]</f>
        <v>27159.82</v>
      </c>
      <c r="U285" s="11">
        <f>IF(tbl_financials[[#This Row],[Revenue]]=0,0,tbl_financials[[#This Row],[Net_Profit]]/tbl_financials[[#This Row],[Revenue]])</f>
        <v>0.88423997833011669</v>
      </c>
      <c r="V285" s="11" t="str">
        <f>tbl_financials[[#This Row],[Month_Name]] &amp; "_" &amp; tbl_financials[[#This Row],[Year]]</f>
        <v>November_2014</v>
      </c>
      <c r="W285" s="11" t="str">
        <f>tbl_financials[[#This Row],[Month_Name]] &amp; "_" &amp; (tbl_financials[[#This Row],[Year]]-1)</f>
        <v>November_2013</v>
      </c>
      <c r="X28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-0.94912556521739144</v>
      </c>
    </row>
    <row r="286" spans="1:24" x14ac:dyDescent="0.3">
      <c r="A286" t="s">
        <v>7</v>
      </c>
      <c r="B286" t="s">
        <v>15</v>
      </c>
      <c r="C286" t="s">
        <v>34</v>
      </c>
      <c r="D286" t="s">
        <v>40</v>
      </c>
      <c r="E286" s="9">
        <v>1496</v>
      </c>
      <c r="F286" s="7">
        <v>10</v>
      </c>
      <c r="G286" s="7">
        <v>350</v>
      </c>
      <c r="H286" s="7">
        <v>523600</v>
      </c>
      <c r="I286" s="5">
        <v>31416</v>
      </c>
      <c r="J286" s="5">
        <v>492184</v>
      </c>
      <c r="K286" s="7">
        <v>388960</v>
      </c>
      <c r="L286" s="5">
        <v>103224</v>
      </c>
      <c r="M286" s="1">
        <v>41791</v>
      </c>
      <c r="N286">
        <v>6</v>
      </c>
      <c r="O286" t="s">
        <v>23</v>
      </c>
      <c r="P286" t="s">
        <v>12</v>
      </c>
      <c r="Q286" s="5">
        <f>tbl_financials[[#This Row],[Net_Sales]]</f>
        <v>492184</v>
      </c>
      <c r="R286" s="5">
        <f>ROUND(tbl_financials[[#This Row],[Revenue]]*(0.12+MOD(ROW(),7)/100),2)</f>
        <v>88593.12</v>
      </c>
      <c r="S286" s="7">
        <f t="shared" si="4"/>
        <v>9866</v>
      </c>
      <c r="T286" s="5">
        <f>tbl_financials[[#This Row],[Gross_Profit]]-tbl_financials[[#This Row],[Operating_Expenses]]+tbl_financials[[#This Row],[Other_Income]]</f>
        <v>24496.880000000005</v>
      </c>
      <c r="U286" s="11">
        <f>IF(tbl_financials[[#This Row],[Revenue]]=0,0,tbl_financials[[#This Row],[Net_Profit]]/tbl_financials[[#This Row],[Revenue]])</f>
        <v>4.9771792662906565E-2</v>
      </c>
      <c r="V286" s="11" t="str">
        <f>tbl_financials[[#This Row],[Month_Name]] &amp; "_" &amp; tbl_financials[[#This Row],[Year]]</f>
        <v>June_2014</v>
      </c>
      <c r="W286" s="11" t="str">
        <f>tbl_financials[[#This Row],[Month_Name]] &amp; "_" &amp; (tbl_financials[[#This Row],[Year]]-1)</f>
        <v>June_2013</v>
      </c>
      <c r="X28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87" spans="1:24" x14ac:dyDescent="0.3">
      <c r="A287" t="s">
        <v>8</v>
      </c>
      <c r="B287" t="s">
        <v>13</v>
      </c>
      <c r="C287" t="s">
        <v>34</v>
      </c>
      <c r="D287" t="s">
        <v>40</v>
      </c>
      <c r="E287" s="9">
        <v>2299</v>
      </c>
      <c r="F287" s="7">
        <v>10</v>
      </c>
      <c r="G287" s="7">
        <v>12</v>
      </c>
      <c r="H287" s="7">
        <v>27588</v>
      </c>
      <c r="I287" s="5">
        <v>1655.28</v>
      </c>
      <c r="J287" s="5">
        <v>25932.720000000001</v>
      </c>
      <c r="K287" s="7">
        <v>6897</v>
      </c>
      <c r="L287" s="5">
        <v>19035.72</v>
      </c>
      <c r="M287" s="1">
        <v>41548</v>
      </c>
      <c r="N287">
        <v>10</v>
      </c>
      <c r="O287" t="s">
        <v>27</v>
      </c>
      <c r="P287" t="s">
        <v>11</v>
      </c>
      <c r="Q287" s="5">
        <f>tbl_financials[[#This Row],[Net_Sales]]</f>
        <v>25932.720000000001</v>
      </c>
      <c r="R287" s="5">
        <f>ROUND(tbl_financials[[#This Row],[Revenue]]*(0.12+MOD(ROW(),7)/100),2)</f>
        <v>3111.93</v>
      </c>
      <c r="S287" s="7">
        <f t="shared" si="4"/>
        <v>9897</v>
      </c>
      <c r="T287" s="5">
        <f>tbl_financials[[#This Row],[Gross_Profit]]-tbl_financials[[#This Row],[Operating_Expenses]]+tbl_financials[[#This Row],[Other_Income]]</f>
        <v>25820.79</v>
      </c>
      <c r="U287" s="11">
        <f>IF(tbl_financials[[#This Row],[Revenue]]=0,0,tbl_financials[[#This Row],[Net_Profit]]/tbl_financials[[#This Row],[Revenue]])</f>
        <v>0.99568383108289449</v>
      </c>
      <c r="V287" s="11" t="str">
        <f>tbl_financials[[#This Row],[Month_Name]] &amp; "_" &amp; tbl_financials[[#This Row],[Year]]</f>
        <v>October_2013</v>
      </c>
      <c r="W287" s="11" t="str">
        <f>tbl_financials[[#This Row],[Month_Name]] &amp; "_" &amp; (tbl_financials[[#This Row],[Year]]-1)</f>
        <v>October_2012</v>
      </c>
      <c r="X28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88" spans="1:24" x14ac:dyDescent="0.3">
      <c r="A288" t="s">
        <v>7</v>
      </c>
      <c r="B288" t="s">
        <v>14</v>
      </c>
      <c r="C288" t="s">
        <v>34</v>
      </c>
      <c r="D288" t="s">
        <v>40</v>
      </c>
      <c r="E288" s="9">
        <v>727</v>
      </c>
      <c r="F288" s="7">
        <v>10</v>
      </c>
      <c r="G288" s="7">
        <v>350</v>
      </c>
      <c r="H288" s="7">
        <v>254450</v>
      </c>
      <c r="I288" s="5">
        <v>15267</v>
      </c>
      <c r="J288" s="5">
        <v>239183</v>
      </c>
      <c r="K288" s="7">
        <v>189020</v>
      </c>
      <c r="L288" s="5">
        <v>50163</v>
      </c>
      <c r="M288" s="1">
        <v>41548</v>
      </c>
      <c r="N288">
        <v>10</v>
      </c>
      <c r="O288" t="s">
        <v>27</v>
      </c>
      <c r="P288" t="s">
        <v>11</v>
      </c>
      <c r="Q288" s="5">
        <f>tbl_financials[[#This Row],[Net_Sales]]</f>
        <v>239183</v>
      </c>
      <c r="R288" s="5">
        <f>ROUND(tbl_financials[[#This Row],[Revenue]]*(0.12+MOD(ROW(),7)/100),2)</f>
        <v>31093.79</v>
      </c>
      <c r="S288" s="7">
        <f t="shared" si="4"/>
        <v>9928</v>
      </c>
      <c r="T288" s="5">
        <f>tbl_financials[[#This Row],[Gross_Profit]]-tbl_financials[[#This Row],[Operating_Expenses]]+tbl_financials[[#This Row],[Other_Income]]</f>
        <v>28997.21</v>
      </c>
      <c r="U288" s="11">
        <f>IF(tbl_financials[[#This Row],[Revenue]]=0,0,tbl_financials[[#This Row],[Net_Profit]]/tbl_financials[[#This Row],[Revenue]])</f>
        <v>0.12123441047231617</v>
      </c>
      <c r="V288" s="11" t="str">
        <f>tbl_financials[[#This Row],[Month_Name]] &amp; "_" &amp; tbl_financials[[#This Row],[Year]]</f>
        <v>October_2013</v>
      </c>
      <c r="W288" s="11" t="str">
        <f>tbl_financials[[#This Row],[Month_Name]] &amp; "_" &amp; (tbl_financials[[#This Row],[Year]]-1)</f>
        <v>October_2012</v>
      </c>
      <c r="X28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89" spans="1:24" x14ac:dyDescent="0.3">
      <c r="A289" t="s">
        <v>6</v>
      </c>
      <c r="B289" t="s">
        <v>13</v>
      </c>
      <c r="C289" t="s">
        <v>35</v>
      </c>
      <c r="D289" t="s">
        <v>40</v>
      </c>
      <c r="E289" s="9">
        <v>952</v>
      </c>
      <c r="F289" s="7">
        <v>120</v>
      </c>
      <c r="G289" s="7">
        <v>125</v>
      </c>
      <c r="H289" s="7">
        <v>119000</v>
      </c>
      <c r="I289" s="5">
        <v>7140</v>
      </c>
      <c r="J289" s="5">
        <v>111860</v>
      </c>
      <c r="K289" s="7">
        <v>114240</v>
      </c>
      <c r="L289" s="5">
        <v>-2380</v>
      </c>
      <c r="M289" s="1">
        <v>41671</v>
      </c>
      <c r="N289">
        <v>2</v>
      </c>
      <c r="O289" t="s">
        <v>19</v>
      </c>
      <c r="P289" t="s">
        <v>12</v>
      </c>
      <c r="Q289" s="5">
        <f>tbl_financials[[#This Row],[Net_Sales]]</f>
        <v>111860</v>
      </c>
      <c r="R289" s="5">
        <f>ROUND(tbl_financials[[#This Row],[Revenue]]*(0.12+MOD(ROW(),7)/100),2)</f>
        <v>15660.4</v>
      </c>
      <c r="S289" s="7">
        <f t="shared" si="4"/>
        <v>9959</v>
      </c>
      <c r="T289" s="5">
        <f>tbl_financials[[#This Row],[Gross_Profit]]-tbl_financials[[#This Row],[Operating_Expenses]]+tbl_financials[[#This Row],[Other_Income]]</f>
        <v>-8081.4000000000015</v>
      </c>
      <c r="U289" s="11">
        <f>IF(tbl_financials[[#This Row],[Revenue]]=0,0,tbl_financials[[#This Row],[Net_Profit]]/tbl_financials[[#This Row],[Revenue]])</f>
        <v>-7.224566422313608E-2</v>
      </c>
      <c r="V289" s="11" t="str">
        <f>tbl_financials[[#This Row],[Month_Name]] &amp; "_" &amp; tbl_financials[[#This Row],[Year]]</f>
        <v>February_2014</v>
      </c>
      <c r="W289" s="11" t="str">
        <f>tbl_financials[[#This Row],[Month_Name]] &amp; "_" &amp; (tbl_financials[[#This Row],[Year]]-1)</f>
        <v>February_2013</v>
      </c>
      <c r="X28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90" spans="1:24" x14ac:dyDescent="0.3">
      <c r="A290" t="s">
        <v>6</v>
      </c>
      <c r="B290" t="s">
        <v>14</v>
      </c>
      <c r="C290" t="s">
        <v>35</v>
      </c>
      <c r="D290" t="s">
        <v>40</v>
      </c>
      <c r="E290" s="9">
        <v>2755</v>
      </c>
      <c r="F290" s="7">
        <v>120</v>
      </c>
      <c r="G290" s="7">
        <v>125</v>
      </c>
      <c r="H290" s="7">
        <v>344375</v>
      </c>
      <c r="I290" s="5">
        <v>20662.5</v>
      </c>
      <c r="J290" s="5">
        <v>323712.5</v>
      </c>
      <c r="K290" s="7">
        <v>330600</v>
      </c>
      <c r="L290" s="5">
        <v>-6887.5</v>
      </c>
      <c r="M290" s="1">
        <v>41671</v>
      </c>
      <c r="N290">
        <v>2</v>
      </c>
      <c r="O290" t="s">
        <v>19</v>
      </c>
      <c r="P290" t="s">
        <v>12</v>
      </c>
      <c r="Q290" s="5">
        <f>tbl_financials[[#This Row],[Net_Sales]]</f>
        <v>323712.5</v>
      </c>
      <c r="R290" s="5">
        <f>ROUND(tbl_financials[[#This Row],[Revenue]]*(0.12+MOD(ROW(),7)/100),2)</f>
        <v>48556.88</v>
      </c>
      <c r="S290" s="7">
        <f t="shared" si="4"/>
        <v>9990</v>
      </c>
      <c r="T290" s="5">
        <f>tbl_financials[[#This Row],[Gross_Profit]]-tbl_financials[[#This Row],[Operating_Expenses]]+tbl_financials[[#This Row],[Other_Income]]</f>
        <v>-45454.38</v>
      </c>
      <c r="U290" s="11">
        <f>IF(tbl_financials[[#This Row],[Revenue]]=0,0,tbl_financials[[#This Row],[Net_Profit]]/tbl_financials[[#This Row],[Revenue]])</f>
        <v>-0.14041589373286481</v>
      </c>
      <c r="V290" s="11" t="str">
        <f>tbl_financials[[#This Row],[Month_Name]] &amp; "_" &amp; tbl_financials[[#This Row],[Year]]</f>
        <v>February_2014</v>
      </c>
      <c r="W290" s="11" t="str">
        <f>tbl_financials[[#This Row],[Month_Name]] &amp; "_" &amp; (tbl_financials[[#This Row],[Year]]-1)</f>
        <v>February_2013</v>
      </c>
      <c r="X29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91" spans="1:24" x14ac:dyDescent="0.3">
      <c r="A291" t="s">
        <v>5</v>
      </c>
      <c r="B291" t="s">
        <v>16</v>
      </c>
      <c r="C291" t="s">
        <v>35</v>
      </c>
      <c r="D291" t="s">
        <v>40</v>
      </c>
      <c r="E291" s="9">
        <v>1530</v>
      </c>
      <c r="F291" s="7">
        <v>120</v>
      </c>
      <c r="G291" s="7">
        <v>15</v>
      </c>
      <c r="H291" s="7">
        <v>22950</v>
      </c>
      <c r="I291" s="5">
        <v>1377</v>
      </c>
      <c r="J291" s="5">
        <v>21573</v>
      </c>
      <c r="K291" s="7">
        <v>15300</v>
      </c>
      <c r="L291" s="5">
        <v>6273</v>
      </c>
      <c r="M291" s="1">
        <v>41760</v>
      </c>
      <c r="N291">
        <v>5</v>
      </c>
      <c r="O291" t="s">
        <v>22</v>
      </c>
      <c r="P291" t="s">
        <v>12</v>
      </c>
      <c r="Q291" s="5">
        <f>tbl_financials[[#This Row],[Net_Sales]]</f>
        <v>21573</v>
      </c>
      <c r="R291" s="5">
        <f>ROUND(tbl_financials[[#This Row],[Revenue]]*(0.12+MOD(ROW(),7)/100),2)</f>
        <v>3451.68</v>
      </c>
      <c r="S291" s="7">
        <f t="shared" si="4"/>
        <v>1021</v>
      </c>
      <c r="T291" s="5">
        <f>tbl_financials[[#This Row],[Gross_Profit]]-tbl_financials[[#This Row],[Operating_Expenses]]+tbl_financials[[#This Row],[Other_Income]]</f>
        <v>3842.32</v>
      </c>
      <c r="U291" s="11">
        <f>IF(tbl_financials[[#This Row],[Revenue]]=0,0,tbl_financials[[#This Row],[Net_Profit]]/tbl_financials[[#This Row],[Revenue]])</f>
        <v>0.17810781996013536</v>
      </c>
      <c r="V291" s="11" t="str">
        <f>tbl_financials[[#This Row],[Month_Name]] &amp; "_" &amp; tbl_financials[[#This Row],[Year]]</f>
        <v>May_2014</v>
      </c>
      <c r="W291" s="11" t="str">
        <f>tbl_financials[[#This Row],[Month_Name]] &amp; "_" &amp; (tbl_financials[[#This Row],[Year]]-1)</f>
        <v>May_2013</v>
      </c>
      <c r="X29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92" spans="1:24" x14ac:dyDescent="0.3">
      <c r="A292" t="s">
        <v>7</v>
      </c>
      <c r="B292" t="s">
        <v>15</v>
      </c>
      <c r="C292" t="s">
        <v>35</v>
      </c>
      <c r="D292" t="s">
        <v>40</v>
      </c>
      <c r="E292" s="9">
        <v>1496</v>
      </c>
      <c r="F292" s="7">
        <v>120</v>
      </c>
      <c r="G292" s="7">
        <v>350</v>
      </c>
      <c r="H292" s="7">
        <v>523600</v>
      </c>
      <c r="I292" s="5">
        <v>31416</v>
      </c>
      <c r="J292" s="5">
        <v>492184</v>
      </c>
      <c r="K292" s="7">
        <v>388960</v>
      </c>
      <c r="L292" s="5">
        <v>103224</v>
      </c>
      <c r="M292" s="1">
        <v>41791</v>
      </c>
      <c r="N292">
        <v>6</v>
      </c>
      <c r="O292" t="s">
        <v>23</v>
      </c>
      <c r="P292" t="s">
        <v>12</v>
      </c>
      <c r="Q292" s="5">
        <f>tbl_financials[[#This Row],[Net_Sales]]</f>
        <v>492184</v>
      </c>
      <c r="R292" s="5">
        <f>ROUND(tbl_financials[[#This Row],[Revenue]]*(0.12+MOD(ROW(),7)/100),2)</f>
        <v>83671.28</v>
      </c>
      <c r="S292" s="7">
        <f t="shared" si="4"/>
        <v>1052</v>
      </c>
      <c r="T292" s="5">
        <f>tbl_financials[[#This Row],[Gross_Profit]]-tbl_financials[[#This Row],[Operating_Expenses]]+tbl_financials[[#This Row],[Other_Income]]</f>
        <v>20604.72</v>
      </c>
      <c r="U292" s="11">
        <f>IF(tbl_financials[[#This Row],[Revenue]]=0,0,tbl_financials[[#This Row],[Net_Profit]]/tbl_financials[[#This Row],[Revenue]])</f>
        <v>4.1863855793768188E-2</v>
      </c>
      <c r="V292" s="11" t="str">
        <f>tbl_financials[[#This Row],[Month_Name]] &amp; "_" &amp; tbl_financials[[#This Row],[Year]]</f>
        <v>June_2014</v>
      </c>
      <c r="W292" s="11" t="str">
        <f>tbl_financials[[#This Row],[Month_Name]] &amp; "_" &amp; (tbl_financials[[#This Row],[Year]]-1)</f>
        <v>June_2013</v>
      </c>
      <c r="X29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93" spans="1:24" x14ac:dyDescent="0.3">
      <c r="A293" t="s">
        <v>7</v>
      </c>
      <c r="B293" t="s">
        <v>17</v>
      </c>
      <c r="C293" t="s">
        <v>35</v>
      </c>
      <c r="D293" t="s">
        <v>40</v>
      </c>
      <c r="E293" s="9">
        <v>1498</v>
      </c>
      <c r="F293" s="7">
        <v>120</v>
      </c>
      <c r="G293" s="7">
        <v>7</v>
      </c>
      <c r="H293" s="7">
        <v>10486</v>
      </c>
      <c r="I293" s="5">
        <v>629.16</v>
      </c>
      <c r="J293" s="5">
        <v>9856.84</v>
      </c>
      <c r="K293" s="7">
        <v>7490</v>
      </c>
      <c r="L293" s="5">
        <v>2366.84</v>
      </c>
      <c r="M293" s="1">
        <v>41791</v>
      </c>
      <c r="N293">
        <v>6</v>
      </c>
      <c r="O293" t="s">
        <v>23</v>
      </c>
      <c r="P293" t="s">
        <v>12</v>
      </c>
      <c r="Q293" s="5">
        <f>tbl_financials[[#This Row],[Net_Sales]]</f>
        <v>9856.84</v>
      </c>
      <c r="R293" s="5">
        <f>ROUND(tbl_financials[[#This Row],[Revenue]]*(0.12+MOD(ROW(),7)/100),2)</f>
        <v>1774.23</v>
      </c>
      <c r="S293" s="7">
        <f t="shared" si="4"/>
        <v>1083</v>
      </c>
      <c r="T293" s="5">
        <f>tbl_financials[[#This Row],[Gross_Profit]]-tbl_financials[[#This Row],[Operating_Expenses]]+tbl_financials[[#This Row],[Other_Income]]</f>
        <v>1675.6100000000001</v>
      </c>
      <c r="U293" s="11">
        <f>IF(tbl_financials[[#This Row],[Revenue]]=0,0,tbl_financials[[#This Row],[Net_Profit]]/tbl_financials[[#This Row],[Revenue]])</f>
        <v>0.16999464331367864</v>
      </c>
      <c r="V293" s="11" t="str">
        <f>tbl_financials[[#This Row],[Month_Name]] &amp; "_" &amp; tbl_financials[[#This Row],[Year]]</f>
        <v>June_2014</v>
      </c>
      <c r="W293" s="11" t="str">
        <f>tbl_financials[[#This Row],[Month_Name]] &amp; "_" &amp; (tbl_financials[[#This Row],[Year]]-1)</f>
        <v>June_2013</v>
      </c>
      <c r="X29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94" spans="1:24" x14ac:dyDescent="0.3">
      <c r="A294" t="s">
        <v>4</v>
      </c>
      <c r="B294" t="s">
        <v>15</v>
      </c>
      <c r="C294" t="s">
        <v>35</v>
      </c>
      <c r="D294" t="s">
        <v>40</v>
      </c>
      <c r="E294" s="9">
        <v>1221</v>
      </c>
      <c r="F294" s="7">
        <v>120</v>
      </c>
      <c r="G294" s="7">
        <v>300</v>
      </c>
      <c r="H294" s="7">
        <v>366300</v>
      </c>
      <c r="I294" s="5">
        <v>21978</v>
      </c>
      <c r="J294" s="5">
        <v>344322</v>
      </c>
      <c r="K294" s="7">
        <v>305250</v>
      </c>
      <c r="L294" s="5">
        <v>39072</v>
      </c>
      <c r="M294" s="1">
        <v>41548</v>
      </c>
      <c r="N294">
        <v>10</v>
      </c>
      <c r="O294" t="s">
        <v>27</v>
      </c>
      <c r="P294" t="s">
        <v>11</v>
      </c>
      <c r="Q294" s="5">
        <f>tbl_financials[[#This Row],[Net_Sales]]</f>
        <v>344322</v>
      </c>
      <c r="R294" s="5">
        <f>ROUND(tbl_financials[[#This Row],[Revenue]]*(0.12+MOD(ROW(),7)/100),2)</f>
        <v>41318.639999999999</v>
      </c>
      <c r="S294" s="7">
        <f t="shared" si="4"/>
        <v>1114</v>
      </c>
      <c r="T294" s="5">
        <f>tbl_financials[[#This Row],[Gross_Profit]]-tbl_financials[[#This Row],[Operating_Expenses]]+tbl_financials[[#This Row],[Other_Income]]</f>
        <v>-1132.6399999999994</v>
      </c>
      <c r="U294" s="11">
        <f>IF(tbl_financials[[#This Row],[Revenue]]=0,0,tbl_financials[[#This Row],[Net_Profit]]/tbl_financials[[#This Row],[Revenue]])</f>
        <v>-3.2894790341598834E-3</v>
      </c>
      <c r="V294" s="11" t="str">
        <f>tbl_financials[[#This Row],[Month_Name]] &amp; "_" &amp; tbl_financials[[#This Row],[Year]]</f>
        <v>October_2013</v>
      </c>
      <c r="W294" s="11" t="str">
        <f>tbl_financials[[#This Row],[Month_Name]] &amp; "_" &amp; (tbl_financials[[#This Row],[Year]]-1)</f>
        <v>October_2012</v>
      </c>
      <c r="X29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95" spans="1:24" x14ac:dyDescent="0.3">
      <c r="A295" t="s">
        <v>7</v>
      </c>
      <c r="B295" t="s">
        <v>15</v>
      </c>
      <c r="C295" t="s">
        <v>35</v>
      </c>
      <c r="D295" t="s">
        <v>40</v>
      </c>
      <c r="E295" s="9">
        <v>2076</v>
      </c>
      <c r="F295" s="7">
        <v>120</v>
      </c>
      <c r="G295" s="7">
        <v>350</v>
      </c>
      <c r="H295" s="7">
        <v>726600</v>
      </c>
      <c r="I295" s="5">
        <v>43596</v>
      </c>
      <c r="J295" s="5">
        <v>683004</v>
      </c>
      <c r="K295" s="7">
        <v>539760</v>
      </c>
      <c r="L295" s="5">
        <v>143244</v>
      </c>
      <c r="M295" s="1">
        <v>41548</v>
      </c>
      <c r="N295">
        <v>10</v>
      </c>
      <c r="O295" t="s">
        <v>27</v>
      </c>
      <c r="P295" t="s">
        <v>11</v>
      </c>
      <c r="Q295" s="5">
        <f>tbl_financials[[#This Row],[Net_Sales]]</f>
        <v>683004</v>
      </c>
      <c r="R295" s="5">
        <f>ROUND(tbl_financials[[#This Row],[Revenue]]*(0.12+MOD(ROW(),7)/100),2)</f>
        <v>88790.52</v>
      </c>
      <c r="S295" s="7">
        <f t="shared" si="4"/>
        <v>1145</v>
      </c>
      <c r="T295" s="5">
        <f>tbl_financials[[#This Row],[Gross_Profit]]-tbl_financials[[#This Row],[Operating_Expenses]]+tbl_financials[[#This Row],[Other_Income]]</f>
        <v>55598.479999999996</v>
      </c>
      <c r="U295" s="11">
        <f>IF(tbl_financials[[#This Row],[Revenue]]=0,0,tbl_financials[[#This Row],[Net_Profit]]/tbl_financials[[#This Row],[Revenue]])</f>
        <v>8.1402861476653127E-2</v>
      </c>
      <c r="V295" s="11" t="str">
        <f>tbl_financials[[#This Row],[Month_Name]] &amp; "_" &amp; tbl_financials[[#This Row],[Year]]</f>
        <v>October_2013</v>
      </c>
      <c r="W295" s="11" t="str">
        <f>tbl_financials[[#This Row],[Month_Name]] &amp; "_" &amp; (tbl_financials[[#This Row],[Year]]-1)</f>
        <v>October_2012</v>
      </c>
      <c r="X29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96" spans="1:24" x14ac:dyDescent="0.3">
      <c r="A296" t="s">
        <v>5</v>
      </c>
      <c r="B296" t="s">
        <v>13</v>
      </c>
      <c r="C296" t="s">
        <v>36</v>
      </c>
      <c r="D296" t="s">
        <v>40</v>
      </c>
      <c r="E296" s="9">
        <v>2844</v>
      </c>
      <c r="F296" s="7">
        <v>250</v>
      </c>
      <c r="G296" s="7">
        <v>15</v>
      </c>
      <c r="H296" s="7">
        <v>42660</v>
      </c>
      <c r="I296" s="5">
        <v>2559.6</v>
      </c>
      <c r="J296" s="5">
        <v>40100.400000000001</v>
      </c>
      <c r="K296" s="7">
        <v>28440</v>
      </c>
      <c r="L296" s="5">
        <v>11660.4</v>
      </c>
      <c r="M296" s="1">
        <v>41791</v>
      </c>
      <c r="N296">
        <v>6</v>
      </c>
      <c r="O296" t="s">
        <v>23</v>
      </c>
      <c r="P296" t="s">
        <v>12</v>
      </c>
      <c r="Q296" s="5">
        <f>tbl_financials[[#This Row],[Net_Sales]]</f>
        <v>40100.400000000001</v>
      </c>
      <c r="R296" s="5">
        <f>ROUND(tbl_financials[[#This Row],[Revenue]]*(0.12+MOD(ROW(),7)/100),2)</f>
        <v>5614.06</v>
      </c>
      <c r="S296" s="7">
        <f t="shared" si="4"/>
        <v>1176</v>
      </c>
      <c r="T296" s="5">
        <f>tbl_financials[[#This Row],[Gross_Profit]]-tbl_financials[[#This Row],[Operating_Expenses]]+tbl_financials[[#This Row],[Other_Income]]</f>
        <v>7222.3399999999992</v>
      </c>
      <c r="U296" s="11">
        <f>IF(tbl_financials[[#This Row],[Revenue]]=0,0,tbl_financials[[#This Row],[Net_Profit]]/tbl_financials[[#This Row],[Revenue]])</f>
        <v>0.18010643285353758</v>
      </c>
      <c r="V296" s="11" t="str">
        <f>tbl_financials[[#This Row],[Month_Name]] &amp; "_" &amp; tbl_financials[[#This Row],[Year]]</f>
        <v>June_2014</v>
      </c>
      <c r="W296" s="11" t="str">
        <f>tbl_financials[[#This Row],[Month_Name]] &amp; "_" &amp; (tbl_financials[[#This Row],[Year]]-1)</f>
        <v>June_2013</v>
      </c>
      <c r="X29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97" spans="1:24" x14ac:dyDescent="0.3">
      <c r="A297" t="s">
        <v>7</v>
      </c>
      <c r="B297" t="s">
        <v>17</v>
      </c>
      <c r="C297" t="s">
        <v>36</v>
      </c>
      <c r="D297" t="s">
        <v>40</v>
      </c>
      <c r="E297" s="9">
        <v>1498</v>
      </c>
      <c r="F297" s="7">
        <v>250</v>
      </c>
      <c r="G297" s="7">
        <v>7</v>
      </c>
      <c r="H297" s="7">
        <v>10486</v>
      </c>
      <c r="I297" s="5">
        <v>629.16</v>
      </c>
      <c r="J297" s="5">
        <v>9856.84</v>
      </c>
      <c r="K297" s="7">
        <v>7490</v>
      </c>
      <c r="L297" s="5">
        <v>2366.84</v>
      </c>
      <c r="M297" s="1">
        <v>41791</v>
      </c>
      <c r="N297">
        <v>6</v>
      </c>
      <c r="O297" t="s">
        <v>23</v>
      </c>
      <c r="P297" t="s">
        <v>12</v>
      </c>
      <c r="Q297" s="5">
        <f>tbl_financials[[#This Row],[Net_Sales]]</f>
        <v>9856.84</v>
      </c>
      <c r="R297" s="5">
        <f>ROUND(tbl_financials[[#This Row],[Revenue]]*(0.12+MOD(ROW(),7)/100),2)</f>
        <v>1478.53</v>
      </c>
      <c r="S297" s="7">
        <f t="shared" si="4"/>
        <v>1207</v>
      </c>
      <c r="T297" s="5">
        <f>tbl_financials[[#This Row],[Gross_Profit]]-tbl_financials[[#This Row],[Operating_Expenses]]+tbl_financials[[#This Row],[Other_Income]]</f>
        <v>2095.3100000000004</v>
      </c>
      <c r="U297" s="11">
        <f>IF(tbl_financials[[#This Row],[Revenue]]=0,0,tbl_financials[[#This Row],[Net_Profit]]/tbl_financials[[#This Row],[Revenue]])</f>
        <v>0.21257421242507746</v>
      </c>
      <c r="V297" s="11" t="str">
        <f>tbl_financials[[#This Row],[Month_Name]] &amp; "_" &amp; tbl_financials[[#This Row],[Year]]</f>
        <v>June_2014</v>
      </c>
      <c r="W297" s="11" t="str">
        <f>tbl_financials[[#This Row],[Month_Name]] &amp; "_" &amp; (tbl_financials[[#This Row],[Year]]-1)</f>
        <v>June_2013</v>
      </c>
      <c r="X29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98" spans="1:24" x14ac:dyDescent="0.3">
      <c r="A298" t="s">
        <v>4</v>
      </c>
      <c r="B298" t="s">
        <v>15</v>
      </c>
      <c r="C298" t="s">
        <v>36</v>
      </c>
      <c r="D298" t="s">
        <v>40</v>
      </c>
      <c r="E298" s="9">
        <v>1221</v>
      </c>
      <c r="F298" s="7">
        <v>250</v>
      </c>
      <c r="G298" s="7">
        <v>300</v>
      </c>
      <c r="H298" s="7">
        <v>366300</v>
      </c>
      <c r="I298" s="5">
        <v>21978</v>
      </c>
      <c r="J298" s="5">
        <v>344322</v>
      </c>
      <c r="K298" s="7">
        <v>305250</v>
      </c>
      <c r="L298" s="5">
        <v>39072</v>
      </c>
      <c r="M298" s="1">
        <v>41548</v>
      </c>
      <c r="N298">
        <v>10</v>
      </c>
      <c r="O298" t="s">
        <v>27</v>
      </c>
      <c r="P298" t="s">
        <v>11</v>
      </c>
      <c r="Q298" s="5">
        <f>tbl_financials[[#This Row],[Net_Sales]]</f>
        <v>344322</v>
      </c>
      <c r="R298" s="5">
        <f>ROUND(tbl_financials[[#This Row],[Revenue]]*(0.12+MOD(ROW(),7)/100),2)</f>
        <v>55091.519999999997</v>
      </c>
      <c r="S298" s="7">
        <f t="shared" si="4"/>
        <v>1238</v>
      </c>
      <c r="T298" s="5">
        <f>tbl_financials[[#This Row],[Gross_Profit]]-tbl_financials[[#This Row],[Operating_Expenses]]+tbl_financials[[#This Row],[Other_Income]]</f>
        <v>-14781.519999999997</v>
      </c>
      <c r="U298" s="11">
        <f>IF(tbl_financials[[#This Row],[Revenue]]=0,0,tbl_financials[[#This Row],[Net_Profit]]/tbl_financials[[#This Row],[Revenue]])</f>
        <v>-4.2929351014457391E-2</v>
      </c>
      <c r="V298" s="11" t="str">
        <f>tbl_financials[[#This Row],[Month_Name]] &amp; "_" &amp; tbl_financials[[#This Row],[Year]]</f>
        <v>October_2013</v>
      </c>
      <c r="W298" s="11" t="str">
        <f>tbl_financials[[#This Row],[Month_Name]] &amp; "_" &amp; (tbl_financials[[#This Row],[Year]]-1)</f>
        <v>October_2012</v>
      </c>
      <c r="X29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299" spans="1:24" x14ac:dyDescent="0.3">
      <c r="A299" t="s">
        <v>7</v>
      </c>
      <c r="B299" t="s">
        <v>17</v>
      </c>
      <c r="C299" t="s">
        <v>36</v>
      </c>
      <c r="D299" t="s">
        <v>40</v>
      </c>
      <c r="E299" s="9">
        <v>1123</v>
      </c>
      <c r="F299" s="7">
        <v>250</v>
      </c>
      <c r="G299" s="7">
        <v>20</v>
      </c>
      <c r="H299" s="7">
        <v>22460</v>
      </c>
      <c r="I299" s="5">
        <v>1347.6</v>
      </c>
      <c r="J299" s="5">
        <v>21112.400000000001</v>
      </c>
      <c r="K299" s="7">
        <v>11230</v>
      </c>
      <c r="L299" s="5">
        <v>9882.4</v>
      </c>
      <c r="M299" s="1">
        <v>41579</v>
      </c>
      <c r="N299">
        <v>11</v>
      </c>
      <c r="O299" t="s">
        <v>28</v>
      </c>
      <c r="P299" t="s">
        <v>11</v>
      </c>
      <c r="Q299" s="5">
        <f>tbl_financials[[#This Row],[Net_Sales]]</f>
        <v>21112.400000000001</v>
      </c>
      <c r="R299" s="5">
        <f>ROUND(tbl_financials[[#This Row],[Revenue]]*(0.12+MOD(ROW(),7)/100),2)</f>
        <v>3589.11</v>
      </c>
      <c r="S299" s="7">
        <f t="shared" si="4"/>
        <v>1269</v>
      </c>
      <c r="T299" s="5">
        <f>tbl_financials[[#This Row],[Gross_Profit]]-tbl_financials[[#This Row],[Operating_Expenses]]+tbl_financials[[#This Row],[Other_Income]]</f>
        <v>7562.2899999999991</v>
      </c>
      <c r="U299" s="11">
        <f>IF(tbl_financials[[#This Row],[Revenue]]=0,0,tbl_financials[[#This Row],[Net_Profit]]/tbl_financials[[#This Row],[Revenue]])</f>
        <v>0.35819186828593613</v>
      </c>
      <c r="V299" s="11" t="str">
        <f>tbl_financials[[#This Row],[Month_Name]] &amp; "_" &amp; tbl_financials[[#This Row],[Year]]</f>
        <v>November_2013</v>
      </c>
      <c r="W299" s="11" t="str">
        <f>tbl_financials[[#This Row],[Month_Name]] &amp; "_" &amp; (tbl_financials[[#This Row],[Year]]-1)</f>
        <v>November_2012</v>
      </c>
      <c r="X29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00" spans="1:24" x14ac:dyDescent="0.3">
      <c r="A300" t="s">
        <v>4</v>
      </c>
      <c r="B300" t="s">
        <v>13</v>
      </c>
      <c r="C300" t="s">
        <v>36</v>
      </c>
      <c r="D300" t="s">
        <v>40</v>
      </c>
      <c r="E300" s="9">
        <v>2436</v>
      </c>
      <c r="F300" s="7">
        <v>250</v>
      </c>
      <c r="G300" s="7">
        <v>300</v>
      </c>
      <c r="H300" s="7">
        <v>730800</v>
      </c>
      <c r="I300" s="5">
        <v>43848</v>
      </c>
      <c r="J300" s="5">
        <v>686952</v>
      </c>
      <c r="K300" s="7">
        <v>609000</v>
      </c>
      <c r="L300" s="5">
        <v>77952</v>
      </c>
      <c r="M300" s="1">
        <v>41609</v>
      </c>
      <c r="N300">
        <v>12</v>
      </c>
      <c r="O300" t="s">
        <v>29</v>
      </c>
      <c r="P300" t="s">
        <v>11</v>
      </c>
      <c r="Q300" s="5">
        <f>tbl_financials[[#This Row],[Net_Sales]]</f>
        <v>686952</v>
      </c>
      <c r="R300" s="5">
        <f>ROUND(tbl_financials[[#This Row],[Revenue]]*(0.12+MOD(ROW(),7)/100),2)</f>
        <v>123651.36</v>
      </c>
      <c r="S300" s="7">
        <f t="shared" si="4"/>
        <v>1300</v>
      </c>
      <c r="T300" s="5">
        <f>tbl_financials[[#This Row],[Gross_Profit]]-tbl_financials[[#This Row],[Operating_Expenses]]+tbl_financials[[#This Row],[Other_Income]]</f>
        <v>-44399.360000000001</v>
      </c>
      <c r="U300" s="11">
        <f>IF(tbl_financials[[#This Row],[Revenue]]=0,0,tbl_financials[[#This Row],[Net_Profit]]/tbl_financials[[#This Row],[Revenue]])</f>
        <v>-6.4632405175325203E-2</v>
      </c>
      <c r="V300" s="11" t="str">
        <f>tbl_financials[[#This Row],[Month_Name]] &amp; "_" &amp; tbl_financials[[#This Row],[Year]]</f>
        <v>December_2013</v>
      </c>
      <c r="W300" s="11" t="str">
        <f>tbl_financials[[#This Row],[Month_Name]] &amp; "_" &amp; (tbl_financials[[#This Row],[Year]]-1)</f>
        <v>December_2012</v>
      </c>
      <c r="X30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01" spans="1:24" x14ac:dyDescent="0.3">
      <c r="A301" t="s">
        <v>6</v>
      </c>
      <c r="B301" t="s">
        <v>15</v>
      </c>
      <c r="C301" t="s">
        <v>37</v>
      </c>
      <c r="D301" t="s">
        <v>40</v>
      </c>
      <c r="E301" s="9">
        <v>1987.5</v>
      </c>
      <c r="F301" s="7">
        <v>260</v>
      </c>
      <c r="G301" s="7">
        <v>125</v>
      </c>
      <c r="H301" s="7">
        <v>248437.5</v>
      </c>
      <c r="I301" s="5">
        <v>14906.25</v>
      </c>
      <c r="J301" s="5">
        <v>233531.25</v>
      </c>
      <c r="K301" s="7">
        <v>238500</v>
      </c>
      <c r="L301" s="5">
        <v>-4968.75</v>
      </c>
      <c r="M301" s="1">
        <v>41640</v>
      </c>
      <c r="N301">
        <v>1</v>
      </c>
      <c r="O301" t="s">
        <v>18</v>
      </c>
      <c r="P301" t="s">
        <v>12</v>
      </c>
      <c r="Q301" s="5">
        <f>tbl_financials[[#This Row],[Net_Sales]]</f>
        <v>233531.25</v>
      </c>
      <c r="R301" s="5">
        <f>ROUND(tbl_financials[[#This Row],[Revenue]]*(0.12+MOD(ROW(),7)/100),2)</f>
        <v>28023.75</v>
      </c>
      <c r="S301" s="7">
        <f t="shared" si="4"/>
        <v>1331</v>
      </c>
      <c r="T301" s="5">
        <f>tbl_financials[[#This Row],[Gross_Profit]]-tbl_financials[[#This Row],[Operating_Expenses]]+tbl_financials[[#This Row],[Other_Income]]</f>
        <v>-31661.5</v>
      </c>
      <c r="U301" s="11">
        <f>IF(tbl_financials[[#This Row],[Revenue]]=0,0,tbl_financials[[#This Row],[Net_Profit]]/tbl_financials[[#This Row],[Revenue]])</f>
        <v>-0.1355771443864579</v>
      </c>
      <c r="V301" s="11" t="str">
        <f>tbl_financials[[#This Row],[Month_Name]] &amp; "_" &amp; tbl_financials[[#This Row],[Year]]</f>
        <v>January_2014</v>
      </c>
      <c r="W301" s="11" t="str">
        <f>tbl_financials[[#This Row],[Month_Name]] &amp; "_" &amp; (tbl_financials[[#This Row],[Year]]-1)</f>
        <v>January_2013</v>
      </c>
      <c r="X30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02" spans="1:24" x14ac:dyDescent="0.3">
      <c r="A302" t="s">
        <v>7</v>
      </c>
      <c r="B302" t="s">
        <v>17</v>
      </c>
      <c r="C302" t="s">
        <v>37</v>
      </c>
      <c r="D302" t="s">
        <v>40</v>
      </c>
      <c r="E302" s="9">
        <v>1679</v>
      </c>
      <c r="F302" s="7">
        <v>260</v>
      </c>
      <c r="G302" s="7">
        <v>350</v>
      </c>
      <c r="H302" s="7">
        <v>587650</v>
      </c>
      <c r="I302" s="5">
        <v>35259</v>
      </c>
      <c r="J302" s="5">
        <v>552391</v>
      </c>
      <c r="K302" s="7">
        <v>436540</v>
      </c>
      <c r="L302" s="5">
        <v>115851</v>
      </c>
      <c r="M302" s="1">
        <v>41883</v>
      </c>
      <c r="N302">
        <v>9</v>
      </c>
      <c r="O302" t="s">
        <v>26</v>
      </c>
      <c r="P302" t="s">
        <v>12</v>
      </c>
      <c r="Q302" s="5">
        <f>tbl_financials[[#This Row],[Net_Sales]]</f>
        <v>552391</v>
      </c>
      <c r="R302" s="5">
        <f>ROUND(tbl_financials[[#This Row],[Revenue]]*(0.12+MOD(ROW(),7)/100),2)</f>
        <v>71810.83</v>
      </c>
      <c r="S302" s="7">
        <f t="shared" si="4"/>
        <v>1362</v>
      </c>
      <c r="T302" s="5">
        <f>tbl_financials[[#This Row],[Gross_Profit]]-tbl_financials[[#This Row],[Operating_Expenses]]+tbl_financials[[#This Row],[Other_Income]]</f>
        <v>45402.17</v>
      </c>
      <c r="U302" s="11">
        <f>IF(tbl_financials[[#This Row],[Revenue]]=0,0,tbl_financials[[#This Row],[Net_Profit]]/tbl_financials[[#This Row],[Revenue]])</f>
        <v>8.2192088574940578E-2</v>
      </c>
      <c r="V302" s="11" t="str">
        <f>tbl_financials[[#This Row],[Month_Name]] &amp; "_" &amp; tbl_financials[[#This Row],[Year]]</f>
        <v>September_2014</v>
      </c>
      <c r="W302" s="11" t="str">
        <f>tbl_financials[[#This Row],[Month_Name]] &amp; "_" &amp; (tbl_financials[[#This Row],[Year]]-1)</f>
        <v>September_2013</v>
      </c>
      <c r="X30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66.078445658773532</v>
      </c>
    </row>
    <row r="303" spans="1:24" x14ac:dyDescent="0.3">
      <c r="A303" t="s">
        <v>7</v>
      </c>
      <c r="B303" t="s">
        <v>14</v>
      </c>
      <c r="C303" t="s">
        <v>37</v>
      </c>
      <c r="D303" t="s">
        <v>40</v>
      </c>
      <c r="E303" s="9">
        <v>727</v>
      </c>
      <c r="F303" s="7">
        <v>260</v>
      </c>
      <c r="G303" s="7">
        <v>350</v>
      </c>
      <c r="H303" s="7">
        <v>254450</v>
      </c>
      <c r="I303" s="5">
        <v>15267</v>
      </c>
      <c r="J303" s="5">
        <v>239183</v>
      </c>
      <c r="K303" s="7">
        <v>189020</v>
      </c>
      <c r="L303" s="5">
        <v>50163</v>
      </c>
      <c r="M303" s="1">
        <v>41548</v>
      </c>
      <c r="N303">
        <v>10</v>
      </c>
      <c r="O303" t="s">
        <v>27</v>
      </c>
      <c r="P303" t="s">
        <v>11</v>
      </c>
      <c r="Q303" s="5">
        <f>tbl_financials[[#This Row],[Net_Sales]]</f>
        <v>239183</v>
      </c>
      <c r="R303" s="5">
        <f>ROUND(tbl_financials[[#This Row],[Revenue]]*(0.12+MOD(ROW(),7)/100),2)</f>
        <v>33485.620000000003</v>
      </c>
      <c r="S303" s="7">
        <f t="shared" si="4"/>
        <v>1393</v>
      </c>
      <c r="T303" s="5">
        <f>tbl_financials[[#This Row],[Gross_Profit]]-tbl_financials[[#This Row],[Operating_Expenses]]+tbl_financials[[#This Row],[Other_Income]]</f>
        <v>18070.379999999997</v>
      </c>
      <c r="U303" s="11">
        <f>IF(tbl_financials[[#This Row],[Revenue]]=0,0,tbl_financials[[#This Row],[Net_Profit]]/tbl_financials[[#This Row],[Revenue]])</f>
        <v>7.5550436276825686E-2</v>
      </c>
      <c r="V303" s="11" t="str">
        <f>tbl_financials[[#This Row],[Month_Name]] &amp; "_" &amp; tbl_financials[[#This Row],[Year]]</f>
        <v>October_2013</v>
      </c>
      <c r="W303" s="11" t="str">
        <f>tbl_financials[[#This Row],[Month_Name]] &amp; "_" &amp; (tbl_financials[[#This Row],[Year]]-1)</f>
        <v>October_2012</v>
      </c>
      <c r="X30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04" spans="1:24" x14ac:dyDescent="0.3">
      <c r="A304" t="s">
        <v>7</v>
      </c>
      <c r="B304" t="s">
        <v>15</v>
      </c>
      <c r="C304" t="s">
        <v>37</v>
      </c>
      <c r="D304" t="s">
        <v>40</v>
      </c>
      <c r="E304" s="9">
        <v>1403</v>
      </c>
      <c r="F304" s="7">
        <v>260</v>
      </c>
      <c r="G304" s="7">
        <v>7</v>
      </c>
      <c r="H304" s="7">
        <v>9821</v>
      </c>
      <c r="I304" s="5">
        <v>589.26</v>
      </c>
      <c r="J304" s="5">
        <v>9231.74</v>
      </c>
      <c r="K304" s="7">
        <v>7015</v>
      </c>
      <c r="L304" s="5">
        <v>2216.7399999999998</v>
      </c>
      <c r="M304" s="1">
        <v>41548</v>
      </c>
      <c r="N304">
        <v>10</v>
      </c>
      <c r="O304" t="s">
        <v>27</v>
      </c>
      <c r="P304" t="s">
        <v>11</v>
      </c>
      <c r="Q304" s="5">
        <f>tbl_financials[[#This Row],[Net_Sales]]</f>
        <v>9231.74</v>
      </c>
      <c r="R304" s="5">
        <f>ROUND(tbl_financials[[#This Row],[Revenue]]*(0.12+MOD(ROW(),7)/100),2)</f>
        <v>1384.76</v>
      </c>
      <c r="S304" s="7">
        <f t="shared" si="4"/>
        <v>1424</v>
      </c>
      <c r="T304" s="5">
        <f>tbl_financials[[#This Row],[Gross_Profit]]-tbl_financials[[#This Row],[Operating_Expenses]]+tbl_financials[[#This Row],[Other_Income]]</f>
        <v>2255.9799999999996</v>
      </c>
      <c r="U304" s="11">
        <f>IF(tbl_financials[[#This Row],[Revenue]]=0,0,tbl_financials[[#This Row],[Net_Profit]]/tbl_financials[[#This Row],[Revenue]])</f>
        <v>0.24437213353062365</v>
      </c>
      <c r="V304" s="11" t="str">
        <f>tbl_financials[[#This Row],[Month_Name]] &amp; "_" &amp; tbl_financials[[#This Row],[Year]]</f>
        <v>October_2013</v>
      </c>
      <c r="W304" s="11" t="str">
        <f>tbl_financials[[#This Row],[Month_Name]] &amp; "_" &amp; (tbl_financials[[#This Row],[Year]]-1)</f>
        <v>October_2012</v>
      </c>
      <c r="X30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05" spans="1:24" x14ac:dyDescent="0.3">
      <c r="A305" t="s">
        <v>7</v>
      </c>
      <c r="B305" t="s">
        <v>15</v>
      </c>
      <c r="C305" t="s">
        <v>37</v>
      </c>
      <c r="D305" t="s">
        <v>40</v>
      </c>
      <c r="E305" s="9">
        <v>2076</v>
      </c>
      <c r="F305" s="7">
        <v>260</v>
      </c>
      <c r="G305" s="7">
        <v>350</v>
      </c>
      <c r="H305" s="7">
        <v>726600</v>
      </c>
      <c r="I305" s="5">
        <v>43596</v>
      </c>
      <c r="J305" s="5">
        <v>683004</v>
      </c>
      <c r="K305" s="7">
        <v>539760</v>
      </c>
      <c r="L305" s="5">
        <v>143244</v>
      </c>
      <c r="M305" s="1">
        <v>41548</v>
      </c>
      <c r="N305">
        <v>10</v>
      </c>
      <c r="O305" t="s">
        <v>27</v>
      </c>
      <c r="P305" t="s">
        <v>11</v>
      </c>
      <c r="Q305" s="5">
        <f>tbl_financials[[#This Row],[Net_Sales]]</f>
        <v>683004</v>
      </c>
      <c r="R305" s="5">
        <f>ROUND(tbl_financials[[#This Row],[Revenue]]*(0.12+MOD(ROW(),7)/100),2)</f>
        <v>109280.64</v>
      </c>
      <c r="S305" s="7">
        <f t="shared" si="4"/>
        <v>1455</v>
      </c>
      <c r="T305" s="5">
        <f>tbl_financials[[#This Row],[Gross_Profit]]-tbl_financials[[#This Row],[Operating_Expenses]]+tbl_financials[[#This Row],[Other_Income]]</f>
        <v>35418.36</v>
      </c>
      <c r="U305" s="11">
        <f>IF(tbl_financials[[#This Row],[Revenue]]=0,0,tbl_financials[[#This Row],[Net_Profit]]/tbl_financials[[#This Row],[Revenue]])</f>
        <v>5.1856738759948701E-2</v>
      </c>
      <c r="V305" s="11" t="str">
        <f>tbl_financials[[#This Row],[Month_Name]] &amp; "_" &amp; tbl_financials[[#This Row],[Year]]</f>
        <v>October_2013</v>
      </c>
      <c r="W305" s="11" t="str">
        <f>tbl_financials[[#This Row],[Month_Name]] &amp; "_" &amp; (tbl_financials[[#This Row],[Year]]-1)</f>
        <v>October_2012</v>
      </c>
      <c r="X30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06" spans="1:24" x14ac:dyDescent="0.3">
      <c r="A306" t="s">
        <v>7</v>
      </c>
      <c r="B306" t="s">
        <v>15</v>
      </c>
      <c r="C306" t="s">
        <v>33</v>
      </c>
      <c r="D306" t="s">
        <v>40</v>
      </c>
      <c r="E306" s="9">
        <v>1757</v>
      </c>
      <c r="F306" s="7">
        <v>5</v>
      </c>
      <c r="G306" s="7">
        <v>20</v>
      </c>
      <c r="H306" s="7">
        <v>35140</v>
      </c>
      <c r="I306" s="5">
        <v>2108.4</v>
      </c>
      <c r="J306" s="5">
        <v>33031.599999999999</v>
      </c>
      <c r="K306" s="7">
        <v>17570</v>
      </c>
      <c r="L306" s="5">
        <v>15461.5999999999</v>
      </c>
      <c r="M306" s="1">
        <v>41548</v>
      </c>
      <c r="N306">
        <v>10</v>
      </c>
      <c r="O306" t="s">
        <v>27</v>
      </c>
      <c r="P306" t="s">
        <v>11</v>
      </c>
      <c r="Q306" s="5">
        <f>tbl_financials[[#This Row],[Net_Sales]]</f>
        <v>33031.599999999999</v>
      </c>
      <c r="R306" s="5">
        <f>ROUND(tbl_financials[[#This Row],[Revenue]]*(0.12+MOD(ROW(),7)/100),2)</f>
        <v>5615.37</v>
      </c>
      <c r="S306" s="7">
        <f t="shared" si="4"/>
        <v>1486</v>
      </c>
      <c r="T306" s="5">
        <f>tbl_financials[[#This Row],[Gross_Profit]]-tbl_financials[[#This Row],[Operating_Expenses]]+tbl_financials[[#This Row],[Other_Income]]</f>
        <v>11332.229999999901</v>
      </c>
      <c r="U306" s="11">
        <f>IF(tbl_financials[[#This Row],[Revenue]]=0,0,tbl_financials[[#This Row],[Net_Profit]]/tbl_financials[[#This Row],[Revenue]])</f>
        <v>0.34307239128591716</v>
      </c>
      <c r="V306" s="11" t="str">
        <f>tbl_financials[[#This Row],[Month_Name]] &amp; "_" &amp; tbl_financials[[#This Row],[Year]]</f>
        <v>October_2013</v>
      </c>
      <c r="W306" s="11" t="str">
        <f>tbl_financials[[#This Row],[Month_Name]] &amp; "_" &amp; (tbl_financials[[#This Row],[Year]]-1)</f>
        <v>October_2012</v>
      </c>
      <c r="X30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07" spans="1:24" x14ac:dyDescent="0.3">
      <c r="A307" t="s">
        <v>5</v>
      </c>
      <c r="B307" t="s">
        <v>14</v>
      </c>
      <c r="C307" t="s">
        <v>34</v>
      </c>
      <c r="D307" t="s">
        <v>40</v>
      </c>
      <c r="E307" s="9">
        <v>2198</v>
      </c>
      <c r="F307" s="7">
        <v>10</v>
      </c>
      <c r="G307" s="7">
        <v>15</v>
      </c>
      <c r="H307" s="7">
        <v>32970</v>
      </c>
      <c r="I307" s="5">
        <v>1978.2</v>
      </c>
      <c r="J307" s="5">
        <v>30991.8</v>
      </c>
      <c r="K307" s="7">
        <v>21980</v>
      </c>
      <c r="L307" s="5">
        <v>9011.7999999999993</v>
      </c>
      <c r="M307" s="1">
        <v>41852</v>
      </c>
      <c r="N307">
        <v>8</v>
      </c>
      <c r="O307" t="s">
        <v>25</v>
      </c>
      <c r="P307" t="s">
        <v>12</v>
      </c>
      <c r="Q307" s="5">
        <f>tbl_financials[[#This Row],[Net_Sales]]</f>
        <v>30991.8</v>
      </c>
      <c r="R307" s="5">
        <f>ROUND(tbl_financials[[#This Row],[Revenue]]*(0.12+MOD(ROW(),7)/100),2)</f>
        <v>5578.52</v>
      </c>
      <c r="S307" s="7">
        <f t="shared" si="4"/>
        <v>1517</v>
      </c>
      <c r="T307" s="5">
        <f>tbl_financials[[#This Row],[Gross_Profit]]-tbl_financials[[#This Row],[Operating_Expenses]]+tbl_financials[[#This Row],[Other_Income]]</f>
        <v>4950.2799999999988</v>
      </c>
      <c r="U307" s="11">
        <f>IF(tbl_financials[[#This Row],[Revenue]]=0,0,tbl_financials[[#This Row],[Net_Profit]]/tbl_financials[[#This Row],[Revenue]])</f>
        <v>0.15972870243096557</v>
      </c>
      <c r="V307" s="11" t="str">
        <f>tbl_financials[[#This Row],[Month_Name]] &amp; "_" &amp; tbl_financials[[#This Row],[Year]]</f>
        <v>August_2014</v>
      </c>
      <c r="W307" s="11" t="str">
        <f>tbl_financials[[#This Row],[Month_Name]] &amp; "_" &amp; (tbl_financials[[#This Row],[Year]]-1)</f>
        <v>August_2013</v>
      </c>
      <c r="X30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08" spans="1:24" x14ac:dyDescent="0.3">
      <c r="A308" t="s">
        <v>5</v>
      </c>
      <c r="B308" t="s">
        <v>16</v>
      </c>
      <c r="C308" t="s">
        <v>34</v>
      </c>
      <c r="D308" t="s">
        <v>40</v>
      </c>
      <c r="E308" s="9">
        <v>1743</v>
      </c>
      <c r="F308" s="7">
        <v>10</v>
      </c>
      <c r="G308" s="7">
        <v>15</v>
      </c>
      <c r="H308" s="7">
        <v>26145</v>
      </c>
      <c r="I308" s="5">
        <v>1568.7</v>
      </c>
      <c r="J308" s="5">
        <v>24576.3</v>
      </c>
      <c r="K308" s="7">
        <v>17430</v>
      </c>
      <c r="L308" s="5">
        <v>7146.2999999999902</v>
      </c>
      <c r="M308" s="1">
        <v>41852</v>
      </c>
      <c r="N308">
        <v>8</v>
      </c>
      <c r="O308" t="s">
        <v>25</v>
      </c>
      <c r="P308" t="s">
        <v>12</v>
      </c>
      <c r="Q308" s="5">
        <f>tbl_financials[[#This Row],[Net_Sales]]</f>
        <v>24576.3</v>
      </c>
      <c r="R308" s="5">
        <f>ROUND(tbl_financials[[#This Row],[Revenue]]*(0.12+MOD(ROW(),7)/100),2)</f>
        <v>2949.16</v>
      </c>
      <c r="S308" s="7">
        <f t="shared" si="4"/>
        <v>1548</v>
      </c>
      <c r="T308" s="5">
        <f>tbl_financials[[#This Row],[Gross_Profit]]-tbl_financials[[#This Row],[Operating_Expenses]]+tbl_financials[[#This Row],[Other_Income]]</f>
        <v>5745.1399999999903</v>
      </c>
      <c r="U308" s="11">
        <f>IF(tbl_financials[[#This Row],[Revenue]]=0,0,tbl_financials[[#This Row],[Net_Profit]]/tbl_financials[[#This Row],[Revenue]])</f>
        <v>0.23376749144500963</v>
      </c>
      <c r="V308" s="11" t="str">
        <f>tbl_financials[[#This Row],[Month_Name]] &amp; "_" &amp; tbl_financials[[#This Row],[Year]]</f>
        <v>August_2014</v>
      </c>
      <c r="W308" s="11" t="str">
        <f>tbl_financials[[#This Row],[Month_Name]] &amp; "_" &amp; (tbl_financials[[#This Row],[Year]]-1)</f>
        <v>August_2013</v>
      </c>
      <c r="X30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09" spans="1:24" x14ac:dyDescent="0.3">
      <c r="A309" t="s">
        <v>5</v>
      </c>
      <c r="B309" t="s">
        <v>14</v>
      </c>
      <c r="C309" t="s">
        <v>34</v>
      </c>
      <c r="D309" t="s">
        <v>40</v>
      </c>
      <c r="E309" s="9">
        <v>1153</v>
      </c>
      <c r="F309" s="7">
        <v>10</v>
      </c>
      <c r="G309" s="7">
        <v>15</v>
      </c>
      <c r="H309" s="7">
        <v>17295</v>
      </c>
      <c r="I309" s="5">
        <v>1037.7</v>
      </c>
      <c r="J309" s="5">
        <v>16257.3</v>
      </c>
      <c r="K309" s="7">
        <v>11530</v>
      </c>
      <c r="L309" s="5">
        <v>4727.2999999999902</v>
      </c>
      <c r="M309" s="1">
        <v>41913</v>
      </c>
      <c r="N309">
        <v>10</v>
      </c>
      <c r="O309" t="s">
        <v>27</v>
      </c>
      <c r="P309" t="s">
        <v>12</v>
      </c>
      <c r="Q309" s="5">
        <f>tbl_financials[[#This Row],[Net_Sales]]</f>
        <v>16257.3</v>
      </c>
      <c r="R309" s="5">
        <f>ROUND(tbl_financials[[#This Row],[Revenue]]*(0.12+MOD(ROW(),7)/100),2)</f>
        <v>2113.4499999999998</v>
      </c>
      <c r="S309" s="7">
        <f t="shared" si="4"/>
        <v>1579</v>
      </c>
      <c r="T309" s="5">
        <f>tbl_financials[[#This Row],[Gross_Profit]]-tbl_financials[[#This Row],[Operating_Expenses]]+tbl_financials[[#This Row],[Other_Income]]</f>
        <v>4192.8499999999904</v>
      </c>
      <c r="U309" s="11">
        <f>IF(tbl_financials[[#This Row],[Revenue]]=0,0,tbl_financials[[#This Row],[Net_Profit]]/tbl_financials[[#This Row],[Revenue]])</f>
        <v>0.25790567929483926</v>
      </c>
      <c r="V309" s="11" t="str">
        <f>tbl_financials[[#This Row],[Month_Name]] &amp; "_" &amp; tbl_financials[[#This Row],[Year]]</f>
        <v>October_2014</v>
      </c>
      <c r="W309" s="11" t="str">
        <f>tbl_financials[[#This Row],[Month_Name]] &amp; "_" &amp; (tbl_financials[[#This Row],[Year]]-1)</f>
        <v>October_2013</v>
      </c>
      <c r="X30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-0.62301913043478263</v>
      </c>
    </row>
    <row r="310" spans="1:24" x14ac:dyDescent="0.3">
      <c r="A310" t="s">
        <v>7</v>
      </c>
      <c r="B310" t="s">
        <v>15</v>
      </c>
      <c r="C310" t="s">
        <v>34</v>
      </c>
      <c r="D310" t="s">
        <v>40</v>
      </c>
      <c r="E310" s="9">
        <v>1757</v>
      </c>
      <c r="F310" s="7">
        <v>10</v>
      </c>
      <c r="G310" s="7">
        <v>20</v>
      </c>
      <c r="H310" s="7">
        <v>35140</v>
      </c>
      <c r="I310" s="5">
        <v>2108.4</v>
      </c>
      <c r="J310" s="5">
        <v>33031.599999999999</v>
      </c>
      <c r="K310" s="7">
        <v>17570</v>
      </c>
      <c r="L310" s="5">
        <v>15461.5999999999</v>
      </c>
      <c r="M310" s="1">
        <v>41548</v>
      </c>
      <c r="N310">
        <v>10</v>
      </c>
      <c r="O310" t="s">
        <v>27</v>
      </c>
      <c r="P310" t="s">
        <v>11</v>
      </c>
      <c r="Q310" s="5">
        <f>tbl_financials[[#This Row],[Net_Sales]]</f>
        <v>33031.599999999999</v>
      </c>
      <c r="R310" s="5">
        <f>ROUND(tbl_financials[[#This Row],[Revenue]]*(0.12+MOD(ROW(),7)/100),2)</f>
        <v>4624.42</v>
      </c>
      <c r="S310" s="7">
        <f t="shared" si="4"/>
        <v>1610</v>
      </c>
      <c r="T310" s="5">
        <f>tbl_financials[[#This Row],[Gross_Profit]]-tbl_financials[[#This Row],[Operating_Expenses]]+tbl_financials[[#This Row],[Other_Income]]</f>
        <v>12447.1799999999</v>
      </c>
      <c r="U310" s="11">
        <f>IF(tbl_financials[[#This Row],[Revenue]]=0,0,tbl_financials[[#This Row],[Net_Profit]]/tbl_financials[[#This Row],[Revenue]])</f>
        <v>0.37682643287033935</v>
      </c>
      <c r="V310" s="11" t="str">
        <f>tbl_financials[[#This Row],[Month_Name]] &amp; "_" &amp; tbl_financials[[#This Row],[Year]]</f>
        <v>October_2013</v>
      </c>
      <c r="W310" s="11" t="str">
        <f>tbl_financials[[#This Row],[Month_Name]] &amp; "_" &amp; (tbl_financials[[#This Row],[Year]]-1)</f>
        <v>October_2012</v>
      </c>
      <c r="X31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11" spans="1:24" x14ac:dyDescent="0.3">
      <c r="A311" t="s">
        <v>7</v>
      </c>
      <c r="B311" t="s">
        <v>16</v>
      </c>
      <c r="C311" t="s">
        <v>35</v>
      </c>
      <c r="D311" t="s">
        <v>40</v>
      </c>
      <c r="E311" s="9">
        <v>1001</v>
      </c>
      <c r="F311" s="7">
        <v>120</v>
      </c>
      <c r="G311" s="7">
        <v>20</v>
      </c>
      <c r="H311" s="7">
        <v>20020</v>
      </c>
      <c r="I311" s="5">
        <v>1201.2</v>
      </c>
      <c r="J311" s="5">
        <v>18818.8</v>
      </c>
      <c r="K311" s="7">
        <v>10010</v>
      </c>
      <c r="L311" s="5">
        <v>8808.7999999999993</v>
      </c>
      <c r="M311" s="1">
        <v>41852</v>
      </c>
      <c r="N311">
        <v>8</v>
      </c>
      <c r="O311" t="s">
        <v>25</v>
      </c>
      <c r="P311" t="s">
        <v>12</v>
      </c>
      <c r="Q311" s="5">
        <f>tbl_financials[[#This Row],[Net_Sales]]</f>
        <v>18818.8</v>
      </c>
      <c r="R311" s="5">
        <f>ROUND(tbl_financials[[#This Row],[Revenue]]*(0.12+MOD(ROW(),7)/100),2)</f>
        <v>2822.82</v>
      </c>
      <c r="S311" s="7">
        <f t="shared" si="4"/>
        <v>1641</v>
      </c>
      <c r="T311" s="5">
        <f>tbl_financials[[#This Row],[Gross_Profit]]-tbl_financials[[#This Row],[Operating_Expenses]]+tbl_financials[[#This Row],[Other_Income]]</f>
        <v>7626.98</v>
      </c>
      <c r="U311" s="11">
        <f>IF(tbl_financials[[#This Row],[Revenue]]=0,0,tbl_financials[[#This Row],[Net_Profit]]/tbl_financials[[#This Row],[Revenue]])</f>
        <v>0.40528514039152336</v>
      </c>
      <c r="V311" s="11" t="str">
        <f>tbl_financials[[#This Row],[Month_Name]] &amp; "_" &amp; tbl_financials[[#This Row],[Year]]</f>
        <v>August_2014</v>
      </c>
      <c r="W311" s="11" t="str">
        <f>tbl_financials[[#This Row],[Month_Name]] &amp; "_" &amp; (tbl_financials[[#This Row],[Year]]-1)</f>
        <v>August_2013</v>
      </c>
      <c r="X31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12" spans="1:24" x14ac:dyDescent="0.3">
      <c r="A312" t="s">
        <v>7</v>
      </c>
      <c r="B312" t="s">
        <v>17</v>
      </c>
      <c r="C312" t="s">
        <v>35</v>
      </c>
      <c r="D312" t="s">
        <v>40</v>
      </c>
      <c r="E312" s="9">
        <v>1333</v>
      </c>
      <c r="F312" s="7">
        <v>120</v>
      </c>
      <c r="G312" s="7">
        <v>7</v>
      </c>
      <c r="H312" s="7">
        <v>9331</v>
      </c>
      <c r="I312" s="5">
        <v>559.86</v>
      </c>
      <c r="J312" s="5">
        <v>8771.14</v>
      </c>
      <c r="K312" s="7">
        <v>6665</v>
      </c>
      <c r="L312" s="5">
        <v>2106.1399999999899</v>
      </c>
      <c r="M312" s="1">
        <v>41944</v>
      </c>
      <c r="N312">
        <v>11</v>
      </c>
      <c r="O312" t="s">
        <v>28</v>
      </c>
      <c r="P312" t="s">
        <v>12</v>
      </c>
      <c r="Q312" s="5">
        <f>tbl_financials[[#This Row],[Net_Sales]]</f>
        <v>8771.14</v>
      </c>
      <c r="R312" s="5">
        <f>ROUND(tbl_financials[[#This Row],[Revenue]]*(0.12+MOD(ROW(),7)/100),2)</f>
        <v>1403.38</v>
      </c>
      <c r="S312" s="7">
        <f t="shared" si="4"/>
        <v>1672</v>
      </c>
      <c r="T312" s="5">
        <f>tbl_financials[[#This Row],[Gross_Profit]]-tbl_financials[[#This Row],[Operating_Expenses]]+tbl_financials[[#This Row],[Other_Income]]</f>
        <v>2374.7599999999898</v>
      </c>
      <c r="U312" s="11">
        <f>IF(tbl_financials[[#This Row],[Revenue]]=0,0,tbl_financials[[#This Row],[Net_Profit]]/tbl_financials[[#This Row],[Revenue]])</f>
        <v>0.27074701806150508</v>
      </c>
      <c r="V312" s="11" t="str">
        <f>tbl_financials[[#This Row],[Month_Name]] &amp; "_" &amp; tbl_financials[[#This Row],[Year]]</f>
        <v>November_2014</v>
      </c>
      <c r="W312" s="11" t="str">
        <f>tbl_financials[[#This Row],[Month_Name]] &amp; "_" &amp; (tbl_financials[[#This Row],[Year]]-1)</f>
        <v>November_2013</v>
      </c>
      <c r="X31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-0.98547223188405797</v>
      </c>
    </row>
    <row r="313" spans="1:24" x14ac:dyDescent="0.3">
      <c r="A313" t="s">
        <v>5</v>
      </c>
      <c r="B313" t="s">
        <v>14</v>
      </c>
      <c r="C313" t="s">
        <v>36</v>
      </c>
      <c r="D313" t="s">
        <v>40</v>
      </c>
      <c r="E313" s="9">
        <v>1153</v>
      </c>
      <c r="F313" s="7">
        <v>250</v>
      </c>
      <c r="G313" s="7">
        <v>15</v>
      </c>
      <c r="H313" s="7">
        <v>17295</v>
      </c>
      <c r="I313" s="5">
        <v>1037.7</v>
      </c>
      <c r="J313" s="5">
        <v>16257.3</v>
      </c>
      <c r="K313" s="7">
        <v>11530</v>
      </c>
      <c r="L313" s="5">
        <v>4727.2999999999902</v>
      </c>
      <c r="M313" s="1">
        <v>41913</v>
      </c>
      <c r="N313">
        <v>10</v>
      </c>
      <c r="O313" t="s">
        <v>27</v>
      </c>
      <c r="P313" t="s">
        <v>12</v>
      </c>
      <c r="Q313" s="5">
        <f>tbl_financials[[#This Row],[Net_Sales]]</f>
        <v>16257.3</v>
      </c>
      <c r="R313" s="5">
        <f>ROUND(tbl_financials[[#This Row],[Revenue]]*(0.12+MOD(ROW(),7)/100),2)</f>
        <v>2763.74</v>
      </c>
      <c r="S313" s="7">
        <f t="shared" si="4"/>
        <v>1703</v>
      </c>
      <c r="T313" s="5">
        <f>tbl_financials[[#This Row],[Gross_Profit]]-tbl_financials[[#This Row],[Operating_Expenses]]+tbl_financials[[#This Row],[Other_Income]]</f>
        <v>3666.5599999999904</v>
      </c>
      <c r="U313" s="11">
        <f>IF(tbl_financials[[#This Row],[Revenue]]=0,0,tbl_financials[[#This Row],[Net_Profit]]/tbl_financials[[#This Row],[Revenue]])</f>
        <v>0.22553314511019606</v>
      </c>
      <c r="V313" s="11" t="str">
        <f>tbl_financials[[#This Row],[Month_Name]] &amp; "_" &amp; tbl_financials[[#This Row],[Year]]</f>
        <v>October_2014</v>
      </c>
      <c r="W313" s="11" t="str">
        <f>tbl_financials[[#This Row],[Month_Name]] &amp; "_" &amp; (tbl_financials[[#This Row],[Year]]-1)</f>
        <v>October_2013</v>
      </c>
      <c r="X31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-0.62301913043478263</v>
      </c>
    </row>
    <row r="314" spans="1:24" x14ac:dyDescent="0.3">
      <c r="A314" t="s">
        <v>8</v>
      </c>
      <c r="B314" t="s">
        <v>17</v>
      </c>
      <c r="C314" t="s">
        <v>32</v>
      </c>
      <c r="D314" t="s">
        <v>40</v>
      </c>
      <c r="E314" s="9">
        <v>727</v>
      </c>
      <c r="F314" s="7">
        <v>3</v>
      </c>
      <c r="G314" s="7">
        <v>12</v>
      </c>
      <c r="H314" s="7">
        <v>8724</v>
      </c>
      <c r="I314" s="5">
        <v>610.67999999999995</v>
      </c>
      <c r="J314" s="5">
        <v>8113.32</v>
      </c>
      <c r="K314" s="7">
        <v>2181</v>
      </c>
      <c r="L314" s="5">
        <v>5932.32</v>
      </c>
      <c r="M314" s="1">
        <v>41671</v>
      </c>
      <c r="N314">
        <v>2</v>
      </c>
      <c r="O314" t="s">
        <v>19</v>
      </c>
      <c r="P314" t="s">
        <v>12</v>
      </c>
      <c r="Q314" s="5">
        <f>tbl_financials[[#This Row],[Net_Sales]]</f>
        <v>8113.32</v>
      </c>
      <c r="R314" s="5">
        <f>ROUND(tbl_financials[[#This Row],[Revenue]]*(0.12+MOD(ROW(),7)/100),2)</f>
        <v>1460.4</v>
      </c>
      <c r="S314" s="7">
        <f t="shared" si="4"/>
        <v>1734</v>
      </c>
      <c r="T314" s="5">
        <f>tbl_financials[[#This Row],[Gross_Profit]]-tbl_financials[[#This Row],[Operating_Expenses]]+tbl_financials[[#This Row],[Other_Income]]</f>
        <v>6205.92</v>
      </c>
      <c r="U314" s="11">
        <f>IF(tbl_financials[[#This Row],[Revenue]]=0,0,tbl_financials[[#This Row],[Net_Profit]]/tbl_financials[[#This Row],[Revenue]])</f>
        <v>0.76490511898951352</v>
      </c>
      <c r="V314" s="11" t="str">
        <f>tbl_financials[[#This Row],[Month_Name]] &amp; "_" &amp; tbl_financials[[#This Row],[Year]]</f>
        <v>February_2014</v>
      </c>
      <c r="W314" s="11" t="str">
        <f>tbl_financials[[#This Row],[Month_Name]] &amp; "_" &amp; (tbl_financials[[#This Row],[Year]]-1)</f>
        <v>February_2013</v>
      </c>
      <c r="X31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15" spans="1:24" x14ac:dyDescent="0.3">
      <c r="A315" t="s">
        <v>8</v>
      </c>
      <c r="B315" t="s">
        <v>13</v>
      </c>
      <c r="C315" t="s">
        <v>32</v>
      </c>
      <c r="D315" t="s">
        <v>40</v>
      </c>
      <c r="E315" s="9">
        <v>1884</v>
      </c>
      <c r="F315" s="7">
        <v>3</v>
      </c>
      <c r="G315" s="7">
        <v>12</v>
      </c>
      <c r="H315" s="7">
        <v>22608</v>
      </c>
      <c r="I315" s="5">
        <v>1582.56</v>
      </c>
      <c r="J315" s="5">
        <v>21025.439999999999</v>
      </c>
      <c r="K315" s="7">
        <v>5652</v>
      </c>
      <c r="L315" s="5">
        <v>15373.4399999999</v>
      </c>
      <c r="M315" s="1">
        <v>41852</v>
      </c>
      <c r="N315">
        <v>8</v>
      </c>
      <c r="O315" t="s">
        <v>25</v>
      </c>
      <c r="P315" t="s">
        <v>12</v>
      </c>
      <c r="Q315" s="5">
        <f>tbl_financials[[#This Row],[Net_Sales]]</f>
        <v>21025.439999999999</v>
      </c>
      <c r="R315" s="5">
        <f>ROUND(tbl_financials[[#This Row],[Revenue]]*(0.12+MOD(ROW(),7)/100),2)</f>
        <v>2523.0500000000002</v>
      </c>
      <c r="S315" s="7">
        <f t="shared" si="4"/>
        <v>1765</v>
      </c>
      <c r="T315" s="5">
        <f>tbl_financials[[#This Row],[Gross_Profit]]-tbl_financials[[#This Row],[Operating_Expenses]]+tbl_financials[[#This Row],[Other_Income]]</f>
        <v>14615.389999999901</v>
      </c>
      <c r="U315" s="11">
        <f>IF(tbl_financials[[#This Row],[Revenue]]=0,0,tbl_financials[[#This Row],[Net_Profit]]/tbl_financials[[#This Row],[Revenue]])</f>
        <v>0.69512885342708175</v>
      </c>
      <c r="V315" s="11" t="str">
        <f>tbl_financials[[#This Row],[Month_Name]] &amp; "_" &amp; tbl_financials[[#This Row],[Year]]</f>
        <v>August_2014</v>
      </c>
      <c r="W315" s="11" t="str">
        <f>tbl_financials[[#This Row],[Month_Name]] &amp; "_" &amp; (tbl_financials[[#This Row],[Year]]-1)</f>
        <v>August_2013</v>
      </c>
      <c r="X31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16" spans="1:24" x14ac:dyDescent="0.3">
      <c r="A316" t="s">
        <v>7</v>
      </c>
      <c r="B316" t="s">
        <v>17</v>
      </c>
      <c r="C316" t="s">
        <v>32</v>
      </c>
      <c r="D316" t="s">
        <v>40</v>
      </c>
      <c r="E316" s="9">
        <v>1834</v>
      </c>
      <c r="F316" s="7">
        <v>3</v>
      </c>
      <c r="G316" s="7">
        <v>20</v>
      </c>
      <c r="H316" s="7">
        <v>36680</v>
      </c>
      <c r="I316" s="5">
        <v>2567.6</v>
      </c>
      <c r="J316" s="5">
        <v>34112.400000000001</v>
      </c>
      <c r="K316" s="7">
        <v>18340</v>
      </c>
      <c r="L316" s="5">
        <v>15772.4</v>
      </c>
      <c r="M316" s="1">
        <v>41518</v>
      </c>
      <c r="N316">
        <v>9</v>
      </c>
      <c r="O316" t="s">
        <v>26</v>
      </c>
      <c r="P316" t="s">
        <v>11</v>
      </c>
      <c r="Q316" s="5">
        <f>tbl_financials[[#This Row],[Net_Sales]]</f>
        <v>34112.400000000001</v>
      </c>
      <c r="R316" s="5">
        <f>ROUND(tbl_financials[[#This Row],[Revenue]]*(0.12+MOD(ROW(),7)/100),2)</f>
        <v>4434.6099999999997</v>
      </c>
      <c r="S316" s="7">
        <f t="shared" si="4"/>
        <v>1796</v>
      </c>
      <c r="T316" s="5">
        <f>tbl_financials[[#This Row],[Gross_Profit]]-tbl_financials[[#This Row],[Operating_Expenses]]+tbl_financials[[#This Row],[Other_Income]]</f>
        <v>13133.79</v>
      </c>
      <c r="U316" s="11">
        <f>IF(tbl_financials[[#This Row],[Revenue]]=0,0,tbl_financials[[#This Row],[Net_Profit]]/tbl_financials[[#This Row],[Revenue]])</f>
        <v>0.38501512646427694</v>
      </c>
      <c r="V316" s="11" t="str">
        <f>tbl_financials[[#This Row],[Month_Name]] &amp; "_" &amp; tbl_financials[[#This Row],[Year]]</f>
        <v>September_2013</v>
      </c>
      <c r="W316" s="11" t="str">
        <f>tbl_financials[[#This Row],[Month_Name]] &amp; "_" &amp; (tbl_financials[[#This Row],[Year]]-1)</f>
        <v>September_2012</v>
      </c>
      <c r="X31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17" spans="1:24" x14ac:dyDescent="0.3">
      <c r="A317" t="s">
        <v>8</v>
      </c>
      <c r="B317" t="s">
        <v>17</v>
      </c>
      <c r="C317" t="s">
        <v>33</v>
      </c>
      <c r="D317" t="s">
        <v>40</v>
      </c>
      <c r="E317" s="9">
        <v>2340</v>
      </c>
      <c r="F317" s="7">
        <v>5</v>
      </c>
      <c r="G317" s="7">
        <v>12</v>
      </c>
      <c r="H317" s="7">
        <v>28080</v>
      </c>
      <c r="I317" s="5">
        <v>1965.6</v>
      </c>
      <c r="J317" s="5">
        <v>26114.400000000001</v>
      </c>
      <c r="K317" s="7">
        <v>7020</v>
      </c>
      <c r="L317" s="5">
        <v>19094.400000000001</v>
      </c>
      <c r="M317" s="1">
        <v>41640</v>
      </c>
      <c r="N317">
        <v>1</v>
      </c>
      <c r="O317" t="s">
        <v>18</v>
      </c>
      <c r="P317" t="s">
        <v>12</v>
      </c>
      <c r="Q317" s="5">
        <f>tbl_financials[[#This Row],[Net_Sales]]</f>
        <v>26114.400000000001</v>
      </c>
      <c r="R317" s="5">
        <f>ROUND(tbl_financials[[#This Row],[Revenue]]*(0.12+MOD(ROW(),7)/100),2)</f>
        <v>3656.02</v>
      </c>
      <c r="S317" s="7">
        <f t="shared" si="4"/>
        <v>1827</v>
      </c>
      <c r="T317" s="5">
        <f>tbl_financials[[#This Row],[Gross_Profit]]-tbl_financials[[#This Row],[Operating_Expenses]]+tbl_financials[[#This Row],[Other_Income]]</f>
        <v>17265.38</v>
      </c>
      <c r="U317" s="11">
        <f>IF(tbl_financials[[#This Row],[Revenue]]=0,0,tbl_financials[[#This Row],[Net_Profit]]/tbl_financials[[#This Row],[Revenue]])</f>
        <v>0.66114404313329045</v>
      </c>
      <c r="V317" s="11" t="str">
        <f>tbl_financials[[#This Row],[Month_Name]] &amp; "_" &amp; tbl_financials[[#This Row],[Year]]</f>
        <v>January_2014</v>
      </c>
      <c r="W317" s="11" t="str">
        <f>tbl_financials[[#This Row],[Month_Name]] &amp; "_" &amp; (tbl_financials[[#This Row],[Year]]-1)</f>
        <v>January_2013</v>
      </c>
      <c r="X31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18" spans="1:24" x14ac:dyDescent="0.3">
      <c r="A318" t="s">
        <v>8</v>
      </c>
      <c r="B318" t="s">
        <v>15</v>
      </c>
      <c r="C318" t="s">
        <v>33</v>
      </c>
      <c r="D318" t="s">
        <v>40</v>
      </c>
      <c r="E318" s="9">
        <v>2342</v>
      </c>
      <c r="F318" s="7">
        <v>5</v>
      </c>
      <c r="G318" s="7">
        <v>12</v>
      </c>
      <c r="H318" s="7">
        <v>28104</v>
      </c>
      <c r="I318" s="5">
        <v>1967.28</v>
      </c>
      <c r="J318" s="5">
        <v>26136.720000000001</v>
      </c>
      <c r="K318" s="7">
        <v>7026</v>
      </c>
      <c r="L318" s="5">
        <v>19110.72</v>
      </c>
      <c r="M318" s="1">
        <v>41944</v>
      </c>
      <c r="N318">
        <v>11</v>
      </c>
      <c r="O318" t="s">
        <v>28</v>
      </c>
      <c r="P318" t="s">
        <v>12</v>
      </c>
      <c r="Q318" s="5">
        <f>tbl_financials[[#This Row],[Net_Sales]]</f>
        <v>26136.720000000001</v>
      </c>
      <c r="R318" s="5">
        <f>ROUND(tbl_financials[[#This Row],[Revenue]]*(0.12+MOD(ROW(),7)/100),2)</f>
        <v>3920.51</v>
      </c>
      <c r="S318" s="7">
        <f t="shared" si="4"/>
        <v>1858</v>
      </c>
      <c r="T318" s="5">
        <f>tbl_financials[[#This Row],[Gross_Profit]]-tbl_financials[[#This Row],[Operating_Expenses]]+tbl_financials[[#This Row],[Other_Income]]</f>
        <v>17048.21</v>
      </c>
      <c r="U318" s="11">
        <f>IF(tbl_financials[[#This Row],[Revenue]]=0,0,tbl_financials[[#This Row],[Net_Profit]]/tbl_financials[[#This Row],[Revenue]])</f>
        <v>0.65227044556470737</v>
      </c>
      <c r="V318" s="11" t="str">
        <f>tbl_financials[[#This Row],[Month_Name]] &amp; "_" &amp; tbl_financials[[#This Row],[Year]]</f>
        <v>November_2014</v>
      </c>
      <c r="W318" s="11" t="str">
        <f>tbl_financials[[#This Row],[Month_Name]] &amp; "_" &amp; (tbl_financials[[#This Row],[Year]]-1)</f>
        <v>November_2013</v>
      </c>
      <c r="X31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-0.95670936645962734</v>
      </c>
    </row>
    <row r="319" spans="1:24" x14ac:dyDescent="0.3">
      <c r="A319" t="s">
        <v>7</v>
      </c>
      <c r="B319" t="s">
        <v>15</v>
      </c>
      <c r="C319" t="s">
        <v>34</v>
      </c>
      <c r="D319" t="s">
        <v>40</v>
      </c>
      <c r="E319" s="9">
        <v>1031</v>
      </c>
      <c r="F319" s="7">
        <v>10</v>
      </c>
      <c r="G319" s="7">
        <v>7</v>
      </c>
      <c r="H319" s="7">
        <v>7217</v>
      </c>
      <c r="I319" s="5">
        <v>505.19</v>
      </c>
      <c r="J319" s="5">
        <v>6711.81</v>
      </c>
      <c r="K319" s="7">
        <v>5155</v>
      </c>
      <c r="L319" s="5">
        <v>1556.81</v>
      </c>
      <c r="M319" s="1">
        <v>41518</v>
      </c>
      <c r="N319">
        <v>9</v>
      </c>
      <c r="O319" t="s">
        <v>26</v>
      </c>
      <c r="P319" t="s">
        <v>11</v>
      </c>
      <c r="Q319" s="5">
        <f>tbl_financials[[#This Row],[Net_Sales]]</f>
        <v>6711.81</v>
      </c>
      <c r="R319" s="5">
        <f>ROUND(tbl_financials[[#This Row],[Revenue]]*(0.12+MOD(ROW(),7)/100),2)</f>
        <v>1073.8900000000001</v>
      </c>
      <c r="S319" s="7">
        <f t="shared" si="4"/>
        <v>1889</v>
      </c>
      <c r="T319" s="5">
        <f>tbl_financials[[#This Row],[Gross_Profit]]-tbl_financials[[#This Row],[Operating_Expenses]]+tbl_financials[[#This Row],[Other_Income]]</f>
        <v>2371.92</v>
      </c>
      <c r="U319" s="11">
        <f>IF(tbl_financials[[#This Row],[Revenue]]=0,0,tbl_financials[[#This Row],[Net_Profit]]/tbl_financials[[#This Row],[Revenue]])</f>
        <v>0.35339498585329443</v>
      </c>
      <c r="V319" s="11" t="str">
        <f>tbl_financials[[#This Row],[Month_Name]] &amp; "_" &amp; tbl_financials[[#This Row],[Year]]</f>
        <v>September_2013</v>
      </c>
      <c r="W319" s="11" t="str">
        <f>tbl_financials[[#This Row],[Month_Name]] &amp; "_" &amp; (tbl_financials[[#This Row],[Year]]-1)</f>
        <v>September_2012</v>
      </c>
      <c r="X31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20" spans="1:24" x14ac:dyDescent="0.3">
      <c r="A320" t="s">
        <v>5</v>
      </c>
      <c r="B320" t="s">
        <v>13</v>
      </c>
      <c r="C320" t="s">
        <v>35</v>
      </c>
      <c r="D320" t="s">
        <v>40</v>
      </c>
      <c r="E320" s="9">
        <v>1262</v>
      </c>
      <c r="F320" s="7">
        <v>120</v>
      </c>
      <c r="G320" s="7">
        <v>15</v>
      </c>
      <c r="H320" s="7">
        <v>18930</v>
      </c>
      <c r="I320" s="5">
        <v>1325.1</v>
      </c>
      <c r="J320" s="5">
        <v>17604.900000000001</v>
      </c>
      <c r="K320" s="7">
        <v>12620</v>
      </c>
      <c r="L320" s="5">
        <v>4984.8999999999996</v>
      </c>
      <c r="M320" s="1">
        <v>41760</v>
      </c>
      <c r="N320">
        <v>5</v>
      </c>
      <c r="O320" t="s">
        <v>22</v>
      </c>
      <c r="P320" t="s">
        <v>12</v>
      </c>
      <c r="Q320" s="5">
        <f>tbl_financials[[#This Row],[Net_Sales]]</f>
        <v>17604.900000000001</v>
      </c>
      <c r="R320" s="5">
        <f>ROUND(tbl_financials[[#This Row],[Revenue]]*(0.12+MOD(ROW(),7)/100),2)</f>
        <v>2992.83</v>
      </c>
      <c r="S320" s="7">
        <f t="shared" si="4"/>
        <v>1920</v>
      </c>
      <c r="T320" s="5">
        <f>tbl_financials[[#This Row],[Gross_Profit]]-tbl_financials[[#This Row],[Operating_Expenses]]+tbl_financials[[#This Row],[Other_Income]]</f>
        <v>3912.0699999999997</v>
      </c>
      <c r="U320" s="11">
        <f>IF(tbl_financials[[#This Row],[Revenue]]=0,0,tbl_financials[[#This Row],[Net_Profit]]/tbl_financials[[#This Row],[Revenue]])</f>
        <v>0.22221483791444424</v>
      </c>
      <c r="V320" s="11" t="str">
        <f>tbl_financials[[#This Row],[Month_Name]] &amp; "_" &amp; tbl_financials[[#This Row],[Year]]</f>
        <v>May_2014</v>
      </c>
      <c r="W320" s="11" t="str">
        <f>tbl_financials[[#This Row],[Month_Name]] &amp; "_" &amp; (tbl_financials[[#This Row],[Year]]-1)</f>
        <v>May_2013</v>
      </c>
      <c r="X32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21" spans="1:24" x14ac:dyDescent="0.3">
      <c r="A321" t="s">
        <v>7</v>
      </c>
      <c r="B321" t="s">
        <v>13</v>
      </c>
      <c r="C321" t="s">
        <v>35</v>
      </c>
      <c r="D321" t="s">
        <v>40</v>
      </c>
      <c r="E321" s="9">
        <v>1135</v>
      </c>
      <c r="F321" s="7">
        <v>120</v>
      </c>
      <c r="G321" s="7">
        <v>7</v>
      </c>
      <c r="H321" s="7">
        <v>7945</v>
      </c>
      <c r="I321" s="5">
        <v>556.15</v>
      </c>
      <c r="J321" s="5">
        <v>7388.85</v>
      </c>
      <c r="K321" s="7">
        <v>5675</v>
      </c>
      <c r="L321" s="5">
        <v>1713.85</v>
      </c>
      <c r="M321" s="1">
        <v>41791</v>
      </c>
      <c r="N321">
        <v>6</v>
      </c>
      <c r="O321" t="s">
        <v>23</v>
      </c>
      <c r="P321" t="s">
        <v>12</v>
      </c>
      <c r="Q321" s="5">
        <f>tbl_financials[[#This Row],[Net_Sales]]</f>
        <v>7388.85</v>
      </c>
      <c r="R321" s="5">
        <f>ROUND(tbl_financials[[#This Row],[Revenue]]*(0.12+MOD(ROW(),7)/100),2)</f>
        <v>1329.99</v>
      </c>
      <c r="S321" s="7">
        <f t="shared" si="4"/>
        <v>1951</v>
      </c>
      <c r="T321" s="5">
        <f>tbl_financials[[#This Row],[Gross_Profit]]-tbl_financials[[#This Row],[Operating_Expenses]]+tbl_financials[[#This Row],[Other_Income]]</f>
        <v>2334.8599999999997</v>
      </c>
      <c r="U321" s="11">
        <f>IF(tbl_financials[[#This Row],[Revenue]]=0,0,tbl_financials[[#This Row],[Net_Profit]]/tbl_financials[[#This Row],[Revenue]])</f>
        <v>0.31599775337163422</v>
      </c>
      <c r="V321" s="11" t="str">
        <f>tbl_financials[[#This Row],[Month_Name]] &amp; "_" &amp; tbl_financials[[#This Row],[Year]]</f>
        <v>June_2014</v>
      </c>
      <c r="W321" s="11" t="str">
        <f>tbl_financials[[#This Row],[Month_Name]] &amp; "_" &amp; (tbl_financials[[#This Row],[Year]]-1)</f>
        <v>June_2013</v>
      </c>
      <c r="X32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22" spans="1:24" x14ac:dyDescent="0.3">
      <c r="A322" t="s">
        <v>7</v>
      </c>
      <c r="B322" t="s">
        <v>14</v>
      </c>
      <c r="C322" t="s">
        <v>35</v>
      </c>
      <c r="D322" t="s">
        <v>40</v>
      </c>
      <c r="E322" s="9">
        <v>547</v>
      </c>
      <c r="F322" s="7">
        <v>120</v>
      </c>
      <c r="G322" s="7">
        <v>7</v>
      </c>
      <c r="H322" s="7">
        <v>3829</v>
      </c>
      <c r="I322" s="5">
        <v>268.02999999999997</v>
      </c>
      <c r="J322" s="5">
        <v>3560.97</v>
      </c>
      <c r="K322" s="7">
        <v>2735</v>
      </c>
      <c r="L322" s="5">
        <v>825.97</v>
      </c>
      <c r="M322" s="1">
        <v>41944</v>
      </c>
      <c r="N322">
        <v>11</v>
      </c>
      <c r="O322" t="s">
        <v>28</v>
      </c>
      <c r="P322" t="s">
        <v>12</v>
      </c>
      <c r="Q322" s="5">
        <f>tbl_financials[[#This Row],[Net_Sales]]</f>
        <v>3560.97</v>
      </c>
      <c r="R322" s="5">
        <f>ROUND(tbl_financials[[#This Row],[Revenue]]*(0.12+MOD(ROW(),7)/100),2)</f>
        <v>427.32</v>
      </c>
      <c r="S322" s="7">
        <f t="shared" ref="S322:S385" si="5">ROUND(1000+MOD(ROW()*31,9000),0)</f>
        <v>1982</v>
      </c>
      <c r="T322" s="5">
        <f>tbl_financials[[#This Row],[Gross_Profit]]-tbl_financials[[#This Row],[Operating_Expenses]]+tbl_financials[[#This Row],[Other_Income]]</f>
        <v>2380.65</v>
      </c>
      <c r="U322" s="11">
        <f>IF(tbl_financials[[#This Row],[Revenue]]=0,0,tbl_financials[[#This Row],[Net_Profit]]/tbl_financials[[#This Row],[Revenue]])</f>
        <v>0.66853975180919811</v>
      </c>
      <c r="V322" s="11" t="str">
        <f>tbl_financials[[#This Row],[Month_Name]] &amp; "_" &amp; tbl_financials[[#This Row],[Year]]</f>
        <v>November_2014</v>
      </c>
      <c r="W322" s="11" t="str">
        <f>tbl_financials[[#This Row],[Month_Name]] &amp; "_" &amp; (tbl_financials[[#This Row],[Year]]-1)</f>
        <v>November_2013</v>
      </c>
      <c r="X32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-0.99410191304347828</v>
      </c>
    </row>
    <row r="323" spans="1:24" x14ac:dyDescent="0.3">
      <c r="A323" t="s">
        <v>7</v>
      </c>
      <c r="B323" t="s">
        <v>13</v>
      </c>
      <c r="C323" t="s">
        <v>35</v>
      </c>
      <c r="D323" t="s">
        <v>40</v>
      </c>
      <c r="E323" s="9">
        <v>1582</v>
      </c>
      <c r="F323" s="7">
        <v>120</v>
      </c>
      <c r="G323" s="7">
        <v>7</v>
      </c>
      <c r="H323" s="7">
        <v>11074</v>
      </c>
      <c r="I323" s="5">
        <v>775.18</v>
      </c>
      <c r="J323" s="5">
        <v>10298.82</v>
      </c>
      <c r="K323" s="7">
        <v>7910</v>
      </c>
      <c r="L323" s="5">
        <v>2388.8199999999902</v>
      </c>
      <c r="M323" s="1">
        <v>41974</v>
      </c>
      <c r="N323">
        <v>12</v>
      </c>
      <c r="O323" t="s">
        <v>29</v>
      </c>
      <c r="P323" t="s">
        <v>12</v>
      </c>
      <c r="Q323" s="5">
        <f>tbl_financials[[#This Row],[Net_Sales]]</f>
        <v>10298.82</v>
      </c>
      <c r="R323" s="5">
        <f>ROUND(tbl_financials[[#This Row],[Revenue]]*(0.12+MOD(ROW(),7)/100),2)</f>
        <v>1338.85</v>
      </c>
      <c r="S323" s="7">
        <f t="shared" si="5"/>
        <v>2013</v>
      </c>
      <c r="T323" s="5">
        <f>tbl_financials[[#This Row],[Gross_Profit]]-tbl_financials[[#This Row],[Operating_Expenses]]+tbl_financials[[#This Row],[Other_Income]]</f>
        <v>3062.9699999999903</v>
      </c>
      <c r="U323" s="11">
        <f>IF(tbl_financials[[#This Row],[Revenue]]=0,0,tbl_financials[[#This Row],[Net_Profit]]/tbl_financials[[#This Row],[Revenue]])</f>
        <v>0.29740980034605813</v>
      </c>
      <c r="V323" s="11" t="str">
        <f>tbl_financials[[#This Row],[Month_Name]] &amp; "_" &amp; tbl_financials[[#This Row],[Year]]</f>
        <v>December_2014</v>
      </c>
      <c r="W323" s="11" t="str">
        <f>tbl_financials[[#This Row],[Month_Name]] &amp; "_" &amp; (tbl_financials[[#This Row],[Year]]-1)</f>
        <v>December_2013</v>
      </c>
      <c r="X32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-0.68095353159851302</v>
      </c>
    </row>
    <row r="324" spans="1:24" x14ac:dyDescent="0.3">
      <c r="A324" t="s">
        <v>8</v>
      </c>
      <c r="B324" t="s">
        <v>15</v>
      </c>
      <c r="C324" t="s">
        <v>36</v>
      </c>
      <c r="D324" t="s">
        <v>40</v>
      </c>
      <c r="E324" s="9">
        <v>1738.5</v>
      </c>
      <c r="F324" s="7">
        <v>250</v>
      </c>
      <c r="G324" s="7">
        <v>12</v>
      </c>
      <c r="H324" s="7">
        <v>20862</v>
      </c>
      <c r="I324" s="5">
        <v>1460.34</v>
      </c>
      <c r="J324" s="5">
        <v>19401.66</v>
      </c>
      <c r="K324" s="7">
        <v>5215.5</v>
      </c>
      <c r="L324" s="5">
        <v>14186.16</v>
      </c>
      <c r="M324" s="1">
        <v>41730</v>
      </c>
      <c r="N324">
        <v>4</v>
      </c>
      <c r="O324" t="s">
        <v>21</v>
      </c>
      <c r="P324" t="s">
        <v>12</v>
      </c>
      <c r="Q324" s="5">
        <f>tbl_financials[[#This Row],[Net_Sales]]</f>
        <v>19401.66</v>
      </c>
      <c r="R324" s="5">
        <f>ROUND(tbl_financials[[#This Row],[Revenue]]*(0.12+MOD(ROW(),7)/100),2)</f>
        <v>2716.23</v>
      </c>
      <c r="S324" s="7">
        <f t="shared" si="5"/>
        <v>2044</v>
      </c>
      <c r="T324" s="5">
        <f>tbl_financials[[#This Row],[Gross_Profit]]-tbl_financials[[#This Row],[Operating_Expenses]]+tbl_financials[[#This Row],[Other_Income]]</f>
        <v>13513.93</v>
      </c>
      <c r="U324" s="11">
        <f>IF(tbl_financials[[#This Row],[Revenue]]=0,0,tbl_financials[[#This Row],[Net_Profit]]/tbl_financials[[#This Row],[Revenue]])</f>
        <v>0.69653472950252715</v>
      </c>
      <c r="V324" s="11" t="str">
        <f>tbl_financials[[#This Row],[Month_Name]] &amp; "_" &amp; tbl_financials[[#This Row],[Year]]</f>
        <v>April_2014</v>
      </c>
      <c r="W324" s="11" t="str">
        <f>tbl_financials[[#This Row],[Month_Name]] &amp; "_" &amp; (tbl_financials[[#This Row],[Year]]-1)</f>
        <v>April_2013</v>
      </c>
      <c r="X32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25" spans="1:24" x14ac:dyDescent="0.3">
      <c r="A325" t="s">
        <v>8</v>
      </c>
      <c r="B325" t="s">
        <v>16</v>
      </c>
      <c r="C325" t="s">
        <v>36</v>
      </c>
      <c r="D325" t="s">
        <v>40</v>
      </c>
      <c r="E325" s="9">
        <v>2215</v>
      </c>
      <c r="F325" s="7">
        <v>250</v>
      </c>
      <c r="G325" s="7">
        <v>12</v>
      </c>
      <c r="H325" s="7">
        <v>26580</v>
      </c>
      <c r="I325" s="5">
        <v>1860.6</v>
      </c>
      <c r="J325" s="5">
        <v>24719.4</v>
      </c>
      <c r="K325" s="7">
        <v>6645</v>
      </c>
      <c r="L325" s="5">
        <v>18074.400000000001</v>
      </c>
      <c r="M325" s="1">
        <v>41518</v>
      </c>
      <c r="N325">
        <v>9</v>
      </c>
      <c r="O325" t="s">
        <v>26</v>
      </c>
      <c r="P325" t="s">
        <v>11</v>
      </c>
      <c r="Q325" s="5">
        <f>tbl_financials[[#This Row],[Net_Sales]]</f>
        <v>24719.4</v>
      </c>
      <c r="R325" s="5">
        <f>ROUND(tbl_financials[[#This Row],[Revenue]]*(0.12+MOD(ROW(),7)/100),2)</f>
        <v>3707.91</v>
      </c>
      <c r="S325" s="7">
        <f t="shared" si="5"/>
        <v>2075</v>
      </c>
      <c r="T325" s="5">
        <f>tbl_financials[[#This Row],[Gross_Profit]]-tbl_financials[[#This Row],[Operating_Expenses]]+tbl_financials[[#This Row],[Other_Income]]</f>
        <v>16441.490000000002</v>
      </c>
      <c r="U325" s="11">
        <f>IF(tbl_financials[[#This Row],[Revenue]]=0,0,tbl_financials[[#This Row],[Net_Profit]]/tbl_financials[[#This Row],[Revenue]])</f>
        <v>0.66512496257999787</v>
      </c>
      <c r="V325" s="11" t="str">
        <f>tbl_financials[[#This Row],[Month_Name]] &amp; "_" &amp; tbl_financials[[#This Row],[Year]]</f>
        <v>September_2013</v>
      </c>
      <c r="W325" s="11" t="str">
        <f>tbl_financials[[#This Row],[Month_Name]] &amp; "_" &amp; (tbl_financials[[#This Row],[Year]]-1)</f>
        <v>September_2012</v>
      </c>
      <c r="X32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26" spans="1:24" x14ac:dyDescent="0.3">
      <c r="A326" t="s">
        <v>7</v>
      </c>
      <c r="B326" t="s">
        <v>13</v>
      </c>
      <c r="C326" t="s">
        <v>36</v>
      </c>
      <c r="D326" t="s">
        <v>40</v>
      </c>
      <c r="E326" s="9">
        <v>1582</v>
      </c>
      <c r="F326" s="7">
        <v>250</v>
      </c>
      <c r="G326" s="7">
        <v>7</v>
      </c>
      <c r="H326" s="7">
        <v>11074</v>
      </c>
      <c r="I326" s="5">
        <v>775.18</v>
      </c>
      <c r="J326" s="5">
        <v>10298.82</v>
      </c>
      <c r="K326" s="7">
        <v>7910</v>
      </c>
      <c r="L326" s="5">
        <v>2388.8199999999902</v>
      </c>
      <c r="M326" s="1">
        <v>41974</v>
      </c>
      <c r="N326">
        <v>12</v>
      </c>
      <c r="O326" t="s">
        <v>29</v>
      </c>
      <c r="P326" t="s">
        <v>12</v>
      </c>
      <c r="Q326" s="5">
        <f>tbl_financials[[#This Row],[Net_Sales]]</f>
        <v>10298.82</v>
      </c>
      <c r="R326" s="5">
        <f>ROUND(tbl_financials[[#This Row],[Revenue]]*(0.12+MOD(ROW(),7)/100),2)</f>
        <v>1647.81</v>
      </c>
      <c r="S326" s="7">
        <f t="shared" si="5"/>
        <v>2106</v>
      </c>
      <c r="T326" s="5">
        <f>tbl_financials[[#This Row],[Gross_Profit]]-tbl_financials[[#This Row],[Operating_Expenses]]+tbl_financials[[#This Row],[Other_Income]]</f>
        <v>2847.0099999999902</v>
      </c>
      <c r="U326" s="11">
        <f>IF(tbl_financials[[#This Row],[Revenue]]=0,0,tbl_financials[[#This Row],[Net_Profit]]/tbl_financials[[#This Row],[Revenue]])</f>
        <v>0.27644040773603096</v>
      </c>
      <c r="V326" s="11" t="str">
        <f>tbl_financials[[#This Row],[Month_Name]] &amp; "_" &amp; tbl_financials[[#This Row],[Year]]</f>
        <v>December_2014</v>
      </c>
      <c r="W326" s="11" t="str">
        <f>tbl_financials[[#This Row],[Month_Name]] &amp; "_" &amp; (tbl_financials[[#This Row],[Year]]-1)</f>
        <v>December_2013</v>
      </c>
      <c r="X32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-0.68095353159851302</v>
      </c>
    </row>
    <row r="327" spans="1:24" x14ac:dyDescent="0.3">
      <c r="A327" t="s">
        <v>7</v>
      </c>
      <c r="B327" t="s">
        <v>13</v>
      </c>
      <c r="C327" t="s">
        <v>37</v>
      </c>
      <c r="D327" t="s">
        <v>40</v>
      </c>
      <c r="E327" s="9">
        <v>1135</v>
      </c>
      <c r="F327" s="7">
        <v>260</v>
      </c>
      <c r="G327" s="7">
        <v>7</v>
      </c>
      <c r="H327" s="7">
        <v>7945</v>
      </c>
      <c r="I327" s="5">
        <v>556.15</v>
      </c>
      <c r="J327" s="5">
        <v>7388.85</v>
      </c>
      <c r="K327" s="7">
        <v>5675</v>
      </c>
      <c r="L327" s="5">
        <v>1713.85</v>
      </c>
      <c r="M327" s="1">
        <v>41791</v>
      </c>
      <c r="N327">
        <v>6</v>
      </c>
      <c r="O327" t="s">
        <v>23</v>
      </c>
      <c r="P327" t="s">
        <v>12</v>
      </c>
      <c r="Q327" s="5">
        <f>tbl_financials[[#This Row],[Net_Sales]]</f>
        <v>7388.85</v>
      </c>
      <c r="R327" s="5">
        <f>ROUND(tbl_financials[[#This Row],[Revenue]]*(0.12+MOD(ROW(),7)/100),2)</f>
        <v>1256.0999999999999</v>
      </c>
      <c r="S327" s="7">
        <f t="shared" si="5"/>
        <v>2137</v>
      </c>
      <c r="T327" s="5">
        <f>tbl_financials[[#This Row],[Gross_Profit]]-tbl_financials[[#This Row],[Operating_Expenses]]+tbl_financials[[#This Row],[Other_Income]]</f>
        <v>2594.75</v>
      </c>
      <c r="U327" s="11">
        <f>IF(tbl_financials[[#This Row],[Revenue]]=0,0,tbl_financials[[#This Row],[Net_Profit]]/tbl_financials[[#This Row],[Revenue]])</f>
        <v>0.35117102120086346</v>
      </c>
      <c r="V327" s="11" t="str">
        <f>tbl_financials[[#This Row],[Month_Name]] &amp; "_" &amp; tbl_financials[[#This Row],[Year]]</f>
        <v>June_2014</v>
      </c>
      <c r="W327" s="11" t="str">
        <f>tbl_financials[[#This Row],[Month_Name]] &amp; "_" &amp; (tbl_financials[[#This Row],[Year]]-1)</f>
        <v>June_2013</v>
      </c>
      <c r="X32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28" spans="1:24" x14ac:dyDescent="0.3">
      <c r="A328" t="s">
        <v>7</v>
      </c>
      <c r="B328" t="s">
        <v>14</v>
      </c>
      <c r="C328" t="s">
        <v>32</v>
      </c>
      <c r="D328" t="s">
        <v>40</v>
      </c>
      <c r="E328" s="9">
        <v>1761</v>
      </c>
      <c r="F328" s="7">
        <v>3</v>
      </c>
      <c r="G328" s="7">
        <v>350</v>
      </c>
      <c r="H328" s="7">
        <v>616350</v>
      </c>
      <c r="I328" s="5">
        <v>43144.5</v>
      </c>
      <c r="J328" s="5">
        <v>573205.5</v>
      </c>
      <c r="K328" s="7">
        <v>457860</v>
      </c>
      <c r="L328" s="5">
        <v>115345.5</v>
      </c>
      <c r="M328" s="1">
        <v>41699</v>
      </c>
      <c r="N328">
        <v>3</v>
      </c>
      <c r="O328" t="s">
        <v>20</v>
      </c>
      <c r="P328" t="s">
        <v>12</v>
      </c>
      <c r="Q328" s="5">
        <f>tbl_financials[[#This Row],[Net_Sales]]</f>
        <v>573205.5</v>
      </c>
      <c r="R328" s="5">
        <f>ROUND(tbl_financials[[#This Row],[Revenue]]*(0.12+MOD(ROW(),7)/100),2)</f>
        <v>103176.99</v>
      </c>
      <c r="S328" s="7">
        <f t="shared" si="5"/>
        <v>2168</v>
      </c>
      <c r="T328" s="5">
        <f>tbl_financials[[#This Row],[Gross_Profit]]-tbl_financials[[#This Row],[Operating_Expenses]]+tbl_financials[[#This Row],[Other_Income]]</f>
        <v>14336.509999999995</v>
      </c>
      <c r="U328" s="11">
        <f>IF(tbl_financials[[#This Row],[Revenue]]=0,0,tbl_financials[[#This Row],[Net_Profit]]/tbl_financials[[#This Row],[Revenue]])</f>
        <v>2.5011117304352445E-2</v>
      </c>
      <c r="V328" s="11" t="str">
        <f>tbl_financials[[#This Row],[Month_Name]] &amp; "_" &amp; tbl_financials[[#This Row],[Year]]</f>
        <v>March_2014</v>
      </c>
      <c r="W328" s="11" t="str">
        <f>tbl_financials[[#This Row],[Month_Name]] &amp; "_" &amp; (tbl_financials[[#This Row],[Year]]-1)</f>
        <v>March_2013</v>
      </c>
      <c r="X32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29" spans="1:24" x14ac:dyDescent="0.3">
      <c r="A329" t="s">
        <v>4</v>
      </c>
      <c r="B329" t="s">
        <v>15</v>
      </c>
      <c r="C329" t="s">
        <v>32</v>
      </c>
      <c r="D329" t="s">
        <v>40</v>
      </c>
      <c r="E329" s="9">
        <v>448</v>
      </c>
      <c r="F329" s="7">
        <v>3</v>
      </c>
      <c r="G329" s="7">
        <v>300</v>
      </c>
      <c r="H329" s="7">
        <v>134400</v>
      </c>
      <c r="I329" s="5">
        <v>9408</v>
      </c>
      <c r="J329" s="5">
        <v>124992</v>
      </c>
      <c r="K329" s="7">
        <v>112000</v>
      </c>
      <c r="L329" s="5">
        <v>12992</v>
      </c>
      <c r="M329" s="1">
        <v>41791</v>
      </c>
      <c r="N329">
        <v>6</v>
      </c>
      <c r="O329" t="s">
        <v>23</v>
      </c>
      <c r="P329" t="s">
        <v>12</v>
      </c>
      <c r="Q329" s="5">
        <f>tbl_financials[[#This Row],[Net_Sales]]</f>
        <v>124992</v>
      </c>
      <c r="R329" s="5">
        <f>ROUND(tbl_financials[[#This Row],[Revenue]]*(0.12+MOD(ROW(),7)/100),2)</f>
        <v>14999.04</v>
      </c>
      <c r="S329" s="7">
        <f t="shared" si="5"/>
        <v>2199</v>
      </c>
      <c r="T329" s="5">
        <f>tbl_financials[[#This Row],[Gross_Profit]]-tbl_financials[[#This Row],[Operating_Expenses]]+tbl_financials[[#This Row],[Other_Income]]</f>
        <v>191.95999999999913</v>
      </c>
      <c r="U329" s="11">
        <f>IF(tbl_financials[[#This Row],[Revenue]]=0,0,tbl_financials[[#This Row],[Net_Profit]]/tbl_financials[[#This Row],[Revenue]])</f>
        <v>1.5357782898105408E-3</v>
      </c>
      <c r="V329" s="11" t="str">
        <f>tbl_financials[[#This Row],[Month_Name]] &amp; "_" &amp; tbl_financials[[#This Row],[Year]]</f>
        <v>June_2014</v>
      </c>
      <c r="W329" s="11" t="str">
        <f>tbl_financials[[#This Row],[Month_Name]] &amp; "_" &amp; (tbl_financials[[#This Row],[Year]]-1)</f>
        <v>June_2013</v>
      </c>
      <c r="X32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30" spans="1:24" x14ac:dyDescent="0.3">
      <c r="A330" t="s">
        <v>4</v>
      </c>
      <c r="B330" t="s">
        <v>15</v>
      </c>
      <c r="C330" t="s">
        <v>32</v>
      </c>
      <c r="D330" t="s">
        <v>40</v>
      </c>
      <c r="E330" s="9">
        <v>2181</v>
      </c>
      <c r="F330" s="7">
        <v>3</v>
      </c>
      <c r="G330" s="7">
        <v>300</v>
      </c>
      <c r="H330" s="7">
        <v>654300</v>
      </c>
      <c r="I330" s="5">
        <v>45801</v>
      </c>
      <c r="J330" s="5">
        <v>608499</v>
      </c>
      <c r="K330" s="7">
        <v>545250</v>
      </c>
      <c r="L330" s="5">
        <v>63249</v>
      </c>
      <c r="M330" s="1">
        <v>41913</v>
      </c>
      <c r="N330">
        <v>10</v>
      </c>
      <c r="O330" t="s">
        <v>27</v>
      </c>
      <c r="P330" t="s">
        <v>12</v>
      </c>
      <c r="Q330" s="5">
        <f>tbl_financials[[#This Row],[Net_Sales]]</f>
        <v>608499</v>
      </c>
      <c r="R330" s="5">
        <f>ROUND(tbl_financials[[#This Row],[Revenue]]*(0.12+MOD(ROW(),7)/100),2)</f>
        <v>79104.87</v>
      </c>
      <c r="S330" s="7">
        <f t="shared" si="5"/>
        <v>2230</v>
      </c>
      <c r="T330" s="5">
        <f>tbl_financials[[#This Row],[Gross_Profit]]-tbl_financials[[#This Row],[Operating_Expenses]]+tbl_financials[[#This Row],[Other_Income]]</f>
        <v>-13625.869999999995</v>
      </c>
      <c r="U330" s="11">
        <f>IF(tbl_financials[[#This Row],[Revenue]]=0,0,tbl_financials[[#This Row],[Net_Profit]]/tbl_financials[[#This Row],[Revenue]])</f>
        <v>-2.2392592263914969E-2</v>
      </c>
      <c r="V330" s="11" t="str">
        <f>tbl_financials[[#This Row],[Month_Name]] &amp; "_" &amp; tbl_financials[[#This Row],[Year]]</f>
        <v>October_2014</v>
      </c>
      <c r="W330" s="11" t="str">
        <f>tbl_financials[[#This Row],[Month_Name]] &amp; "_" &amp; (tbl_financials[[#This Row],[Year]]-1)</f>
        <v>October_2013</v>
      </c>
      <c r="X33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13.110121739130435</v>
      </c>
    </row>
    <row r="331" spans="1:24" x14ac:dyDescent="0.3">
      <c r="A331" t="s">
        <v>7</v>
      </c>
      <c r="B331" t="s">
        <v>15</v>
      </c>
      <c r="C331" t="s">
        <v>33</v>
      </c>
      <c r="D331" t="s">
        <v>40</v>
      </c>
      <c r="E331" s="9">
        <v>1976</v>
      </c>
      <c r="F331" s="7">
        <v>5</v>
      </c>
      <c r="G331" s="7">
        <v>20</v>
      </c>
      <c r="H331" s="7">
        <v>39520</v>
      </c>
      <c r="I331" s="5">
        <v>2766.4</v>
      </c>
      <c r="J331" s="5">
        <v>36753.599999999999</v>
      </c>
      <c r="K331" s="7">
        <v>19760</v>
      </c>
      <c r="L331" s="5">
        <v>16993.599999999999</v>
      </c>
      <c r="M331" s="1">
        <v>41913</v>
      </c>
      <c r="N331">
        <v>10</v>
      </c>
      <c r="O331" t="s">
        <v>27</v>
      </c>
      <c r="P331" t="s">
        <v>12</v>
      </c>
      <c r="Q331" s="5">
        <f>tbl_financials[[#This Row],[Net_Sales]]</f>
        <v>36753.599999999999</v>
      </c>
      <c r="R331" s="5">
        <f>ROUND(tbl_financials[[#This Row],[Revenue]]*(0.12+MOD(ROW(),7)/100),2)</f>
        <v>5145.5</v>
      </c>
      <c r="S331" s="7">
        <f t="shared" si="5"/>
        <v>2261</v>
      </c>
      <c r="T331" s="5">
        <f>tbl_financials[[#This Row],[Gross_Profit]]-tbl_financials[[#This Row],[Operating_Expenses]]+tbl_financials[[#This Row],[Other_Income]]</f>
        <v>14109.099999999999</v>
      </c>
      <c r="U331" s="11">
        <f>IF(tbl_financials[[#This Row],[Revenue]]=0,0,tbl_financials[[#This Row],[Net_Profit]]/tbl_financials[[#This Row],[Revenue]])</f>
        <v>0.38388348352270252</v>
      </c>
      <c r="V331" s="11" t="str">
        <f>tbl_financials[[#This Row],[Month_Name]] &amp; "_" &amp; tbl_financials[[#This Row],[Year]]</f>
        <v>October_2014</v>
      </c>
      <c r="W331" s="11" t="str">
        <f>tbl_financials[[#This Row],[Month_Name]] &amp; "_" &amp; (tbl_financials[[#This Row],[Year]]-1)</f>
        <v>October_2013</v>
      </c>
      <c r="X33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-0.1477426086956522</v>
      </c>
    </row>
    <row r="332" spans="1:24" x14ac:dyDescent="0.3">
      <c r="A332" t="s">
        <v>4</v>
      </c>
      <c r="B332" t="s">
        <v>15</v>
      </c>
      <c r="C332" t="s">
        <v>33</v>
      </c>
      <c r="D332" t="s">
        <v>40</v>
      </c>
      <c r="E332" s="9">
        <v>2181</v>
      </c>
      <c r="F332" s="7">
        <v>5</v>
      </c>
      <c r="G332" s="7">
        <v>300</v>
      </c>
      <c r="H332" s="7">
        <v>654300</v>
      </c>
      <c r="I332" s="5">
        <v>45801</v>
      </c>
      <c r="J332" s="5">
        <v>608499</v>
      </c>
      <c r="K332" s="7">
        <v>545250</v>
      </c>
      <c r="L332" s="5">
        <v>63249</v>
      </c>
      <c r="M332" s="1">
        <v>41913</v>
      </c>
      <c r="N332">
        <v>10</v>
      </c>
      <c r="O332" t="s">
        <v>27</v>
      </c>
      <c r="P332" t="s">
        <v>12</v>
      </c>
      <c r="Q332" s="5">
        <f>tbl_financials[[#This Row],[Net_Sales]]</f>
        <v>608499</v>
      </c>
      <c r="R332" s="5">
        <f>ROUND(tbl_financials[[#This Row],[Revenue]]*(0.12+MOD(ROW(),7)/100),2)</f>
        <v>91274.85</v>
      </c>
      <c r="S332" s="7">
        <f t="shared" si="5"/>
        <v>2292</v>
      </c>
      <c r="T332" s="5">
        <f>tbl_financials[[#This Row],[Gross_Profit]]-tbl_financials[[#This Row],[Operating_Expenses]]+tbl_financials[[#This Row],[Other_Income]]</f>
        <v>-25733.850000000006</v>
      </c>
      <c r="U332" s="11">
        <f>IF(tbl_financials[[#This Row],[Revenue]]=0,0,tbl_financials[[#This Row],[Net_Profit]]/tbl_financials[[#This Row],[Revenue]])</f>
        <v>-4.2290702203290398E-2</v>
      </c>
      <c r="V332" s="11" t="str">
        <f>tbl_financials[[#This Row],[Month_Name]] &amp; "_" &amp; tbl_financials[[#This Row],[Year]]</f>
        <v>October_2014</v>
      </c>
      <c r="W332" s="11" t="str">
        <f>tbl_financials[[#This Row],[Month_Name]] &amp; "_" &amp; (tbl_financials[[#This Row],[Year]]-1)</f>
        <v>October_2013</v>
      </c>
      <c r="X33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13.110121739130435</v>
      </c>
    </row>
    <row r="333" spans="1:24" x14ac:dyDescent="0.3">
      <c r="A333" t="s">
        <v>6</v>
      </c>
      <c r="B333" t="s">
        <v>16</v>
      </c>
      <c r="C333" t="s">
        <v>33</v>
      </c>
      <c r="D333" t="s">
        <v>40</v>
      </c>
      <c r="E333" s="9">
        <v>2500</v>
      </c>
      <c r="F333" s="7">
        <v>5</v>
      </c>
      <c r="G333" s="7">
        <v>125</v>
      </c>
      <c r="H333" s="7">
        <v>312500</v>
      </c>
      <c r="I333" s="5">
        <v>21875</v>
      </c>
      <c r="J333" s="5">
        <v>290625</v>
      </c>
      <c r="K333" s="7">
        <v>300000</v>
      </c>
      <c r="L333" s="5">
        <v>-9375</v>
      </c>
      <c r="M333" s="1">
        <v>41579</v>
      </c>
      <c r="N333">
        <v>11</v>
      </c>
      <c r="O333" t="s">
        <v>28</v>
      </c>
      <c r="P333" t="s">
        <v>11</v>
      </c>
      <c r="Q333" s="5">
        <f>tbl_financials[[#This Row],[Net_Sales]]</f>
        <v>290625</v>
      </c>
      <c r="R333" s="5">
        <f>ROUND(tbl_financials[[#This Row],[Revenue]]*(0.12+MOD(ROW(),7)/100),2)</f>
        <v>46500</v>
      </c>
      <c r="S333" s="7">
        <f t="shared" si="5"/>
        <v>2323</v>
      </c>
      <c r="T333" s="5">
        <f>tbl_financials[[#This Row],[Gross_Profit]]-tbl_financials[[#This Row],[Operating_Expenses]]+tbl_financials[[#This Row],[Other_Income]]</f>
        <v>-53552</v>
      </c>
      <c r="U333" s="11">
        <f>IF(tbl_financials[[#This Row],[Revenue]]=0,0,tbl_financials[[#This Row],[Net_Profit]]/tbl_financials[[#This Row],[Revenue]])</f>
        <v>-0.18426494623655915</v>
      </c>
      <c r="V333" s="11" t="str">
        <f>tbl_financials[[#This Row],[Month_Name]] &amp; "_" &amp; tbl_financials[[#This Row],[Year]]</f>
        <v>November_2013</v>
      </c>
      <c r="W333" s="11" t="str">
        <f>tbl_financials[[#This Row],[Month_Name]] &amp; "_" &amp; (tbl_financials[[#This Row],[Year]]-1)</f>
        <v>November_2012</v>
      </c>
      <c r="X33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34" spans="1:24" x14ac:dyDescent="0.3">
      <c r="A334" t="s">
        <v>4</v>
      </c>
      <c r="B334" t="s">
        <v>13</v>
      </c>
      <c r="C334" t="s">
        <v>34</v>
      </c>
      <c r="D334" t="s">
        <v>40</v>
      </c>
      <c r="E334" s="9">
        <v>1702</v>
      </c>
      <c r="F334" s="7">
        <v>10</v>
      </c>
      <c r="G334" s="7">
        <v>300</v>
      </c>
      <c r="H334" s="7">
        <v>510600</v>
      </c>
      <c r="I334" s="5">
        <v>35742</v>
      </c>
      <c r="J334" s="5">
        <v>474858</v>
      </c>
      <c r="K334" s="7">
        <v>425500</v>
      </c>
      <c r="L334" s="5">
        <v>49358</v>
      </c>
      <c r="M334" s="1">
        <v>41760</v>
      </c>
      <c r="N334">
        <v>5</v>
      </c>
      <c r="O334" t="s">
        <v>22</v>
      </c>
      <c r="P334" t="s">
        <v>12</v>
      </c>
      <c r="Q334" s="5">
        <f>tbl_financials[[#This Row],[Net_Sales]]</f>
        <v>474858</v>
      </c>
      <c r="R334" s="5">
        <f>ROUND(tbl_financials[[#This Row],[Revenue]]*(0.12+MOD(ROW(),7)/100),2)</f>
        <v>80725.86</v>
      </c>
      <c r="S334" s="7">
        <f t="shared" si="5"/>
        <v>2354</v>
      </c>
      <c r="T334" s="5">
        <f>tbl_financials[[#This Row],[Gross_Profit]]-tbl_financials[[#This Row],[Operating_Expenses]]+tbl_financials[[#This Row],[Other_Income]]</f>
        <v>-29013.86</v>
      </c>
      <c r="U334" s="11">
        <f>IF(tbl_financials[[#This Row],[Revenue]]=0,0,tbl_financials[[#This Row],[Net_Profit]]/tbl_financials[[#This Row],[Revenue]])</f>
        <v>-6.1100076233316064E-2</v>
      </c>
      <c r="V334" s="11" t="str">
        <f>tbl_financials[[#This Row],[Month_Name]] &amp; "_" &amp; tbl_financials[[#This Row],[Year]]</f>
        <v>May_2014</v>
      </c>
      <c r="W334" s="11" t="str">
        <f>tbl_financials[[#This Row],[Month_Name]] &amp; "_" &amp; (tbl_financials[[#This Row],[Year]]-1)</f>
        <v>May_2013</v>
      </c>
      <c r="X33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35" spans="1:24" x14ac:dyDescent="0.3">
      <c r="A335" t="s">
        <v>4</v>
      </c>
      <c r="B335" t="s">
        <v>15</v>
      </c>
      <c r="C335" t="s">
        <v>34</v>
      </c>
      <c r="D335" t="s">
        <v>40</v>
      </c>
      <c r="E335" s="9">
        <v>448</v>
      </c>
      <c r="F335" s="7">
        <v>10</v>
      </c>
      <c r="G335" s="7">
        <v>300</v>
      </c>
      <c r="H335" s="7">
        <v>134400</v>
      </c>
      <c r="I335" s="5">
        <v>9408</v>
      </c>
      <c r="J335" s="5">
        <v>124992</v>
      </c>
      <c r="K335" s="7">
        <v>112000</v>
      </c>
      <c r="L335" s="5">
        <v>12992</v>
      </c>
      <c r="M335" s="1">
        <v>41791</v>
      </c>
      <c r="N335">
        <v>6</v>
      </c>
      <c r="O335" t="s">
        <v>23</v>
      </c>
      <c r="P335" t="s">
        <v>12</v>
      </c>
      <c r="Q335" s="5">
        <f>tbl_financials[[#This Row],[Net_Sales]]</f>
        <v>124992</v>
      </c>
      <c r="R335" s="5">
        <f>ROUND(tbl_financials[[#This Row],[Revenue]]*(0.12+MOD(ROW(),7)/100),2)</f>
        <v>22498.560000000001</v>
      </c>
      <c r="S335" s="7">
        <f t="shared" si="5"/>
        <v>2385</v>
      </c>
      <c r="T335" s="5">
        <f>tbl_financials[[#This Row],[Gross_Profit]]-tbl_financials[[#This Row],[Operating_Expenses]]+tbl_financials[[#This Row],[Other_Income]]</f>
        <v>-7121.5600000000013</v>
      </c>
      <c r="U335" s="11">
        <f>IF(tbl_financials[[#This Row],[Revenue]]=0,0,tbl_financials[[#This Row],[Net_Profit]]/tbl_financials[[#This Row],[Revenue]])</f>
        <v>-5.6976126472094227E-2</v>
      </c>
      <c r="V335" s="11" t="str">
        <f>tbl_financials[[#This Row],[Month_Name]] &amp; "_" &amp; tbl_financials[[#This Row],[Year]]</f>
        <v>June_2014</v>
      </c>
      <c r="W335" s="11" t="str">
        <f>tbl_financials[[#This Row],[Month_Name]] &amp; "_" &amp; (tbl_financials[[#This Row],[Year]]-1)</f>
        <v>June_2013</v>
      </c>
      <c r="X33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36" spans="1:24" x14ac:dyDescent="0.3">
      <c r="A336" t="s">
        <v>6</v>
      </c>
      <c r="B336" t="s">
        <v>16</v>
      </c>
      <c r="C336" t="s">
        <v>34</v>
      </c>
      <c r="D336" t="s">
        <v>40</v>
      </c>
      <c r="E336" s="9">
        <v>3513</v>
      </c>
      <c r="F336" s="7">
        <v>10</v>
      </c>
      <c r="G336" s="7">
        <v>125</v>
      </c>
      <c r="H336" s="7">
        <v>439125</v>
      </c>
      <c r="I336" s="5">
        <v>30738.75</v>
      </c>
      <c r="J336" s="5">
        <v>408386.25</v>
      </c>
      <c r="K336" s="7">
        <v>421560</v>
      </c>
      <c r="L336" s="5">
        <v>-13173.75</v>
      </c>
      <c r="M336" s="1">
        <v>41821</v>
      </c>
      <c r="N336">
        <v>7</v>
      </c>
      <c r="O336" t="s">
        <v>24</v>
      </c>
      <c r="P336" t="s">
        <v>12</v>
      </c>
      <c r="Q336" s="5">
        <f>tbl_financials[[#This Row],[Net_Sales]]</f>
        <v>408386.25</v>
      </c>
      <c r="R336" s="5">
        <f>ROUND(tbl_financials[[#This Row],[Revenue]]*(0.12+MOD(ROW(),7)/100),2)</f>
        <v>49006.35</v>
      </c>
      <c r="S336" s="7">
        <f t="shared" si="5"/>
        <v>2416</v>
      </c>
      <c r="T336" s="5">
        <f>tbl_financials[[#This Row],[Gross_Profit]]-tbl_financials[[#This Row],[Operating_Expenses]]+tbl_financials[[#This Row],[Other_Income]]</f>
        <v>-59764.1</v>
      </c>
      <c r="U336" s="11">
        <f>IF(tbl_financials[[#This Row],[Revenue]]=0,0,tbl_financials[[#This Row],[Net_Profit]]/tbl_financials[[#This Row],[Revenue]])</f>
        <v>-0.1463420964834149</v>
      </c>
      <c r="V336" s="11" t="str">
        <f>tbl_financials[[#This Row],[Month_Name]] &amp; "_" &amp; tbl_financials[[#This Row],[Year]]</f>
        <v>July_2014</v>
      </c>
      <c r="W336" s="11" t="str">
        <f>tbl_financials[[#This Row],[Month_Name]] &amp; "_" &amp; (tbl_financials[[#This Row],[Year]]-1)</f>
        <v>July_2013</v>
      </c>
      <c r="X33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37" spans="1:24" x14ac:dyDescent="0.3">
      <c r="A337" t="s">
        <v>5</v>
      </c>
      <c r="B337" t="s">
        <v>15</v>
      </c>
      <c r="C337" t="s">
        <v>34</v>
      </c>
      <c r="D337" t="s">
        <v>40</v>
      </c>
      <c r="E337" s="9">
        <v>2101</v>
      </c>
      <c r="F337" s="7">
        <v>10</v>
      </c>
      <c r="G337" s="7">
        <v>15</v>
      </c>
      <c r="H337" s="7">
        <v>31515</v>
      </c>
      <c r="I337" s="5">
        <v>2206.0500000000002</v>
      </c>
      <c r="J337" s="5">
        <v>29308.95</v>
      </c>
      <c r="K337" s="7">
        <v>21010</v>
      </c>
      <c r="L337" s="5">
        <v>8298.9500000000007</v>
      </c>
      <c r="M337" s="1">
        <v>41852</v>
      </c>
      <c r="N337">
        <v>8</v>
      </c>
      <c r="O337" t="s">
        <v>25</v>
      </c>
      <c r="P337" t="s">
        <v>12</v>
      </c>
      <c r="Q337" s="5">
        <f>tbl_financials[[#This Row],[Net_Sales]]</f>
        <v>29308.95</v>
      </c>
      <c r="R337" s="5">
        <f>ROUND(tbl_financials[[#This Row],[Revenue]]*(0.12+MOD(ROW(),7)/100),2)</f>
        <v>3810.16</v>
      </c>
      <c r="S337" s="7">
        <f t="shared" si="5"/>
        <v>2447</v>
      </c>
      <c r="T337" s="5">
        <f>tbl_financials[[#This Row],[Gross_Profit]]-tbl_financials[[#This Row],[Operating_Expenses]]+tbl_financials[[#This Row],[Other_Income]]</f>
        <v>6935.7900000000009</v>
      </c>
      <c r="U337" s="11">
        <f>IF(tbl_financials[[#This Row],[Revenue]]=0,0,tbl_financials[[#This Row],[Net_Profit]]/tbl_financials[[#This Row],[Revenue]])</f>
        <v>0.23664409676907569</v>
      </c>
      <c r="V337" s="11" t="str">
        <f>tbl_financials[[#This Row],[Month_Name]] &amp; "_" &amp; tbl_financials[[#This Row],[Year]]</f>
        <v>August_2014</v>
      </c>
      <c r="W337" s="11" t="str">
        <f>tbl_financials[[#This Row],[Month_Name]] &amp; "_" &amp; (tbl_financials[[#This Row],[Year]]-1)</f>
        <v>August_2013</v>
      </c>
      <c r="X33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38" spans="1:24" x14ac:dyDescent="0.3">
      <c r="A338" t="s">
        <v>5</v>
      </c>
      <c r="B338" t="s">
        <v>14</v>
      </c>
      <c r="C338" t="s">
        <v>34</v>
      </c>
      <c r="D338" t="s">
        <v>40</v>
      </c>
      <c r="E338" s="9">
        <v>2931</v>
      </c>
      <c r="F338" s="7">
        <v>10</v>
      </c>
      <c r="G338" s="7">
        <v>15</v>
      </c>
      <c r="H338" s="7">
        <v>43965</v>
      </c>
      <c r="I338" s="5">
        <v>3077.55</v>
      </c>
      <c r="J338" s="5">
        <v>40887.449999999997</v>
      </c>
      <c r="K338" s="7">
        <v>29310</v>
      </c>
      <c r="L338" s="5">
        <v>11577.449999999901</v>
      </c>
      <c r="M338" s="1">
        <v>41518</v>
      </c>
      <c r="N338">
        <v>9</v>
      </c>
      <c r="O338" t="s">
        <v>26</v>
      </c>
      <c r="P338" t="s">
        <v>11</v>
      </c>
      <c r="Q338" s="5">
        <f>tbl_financials[[#This Row],[Net_Sales]]</f>
        <v>40887.449999999997</v>
      </c>
      <c r="R338" s="5">
        <f>ROUND(tbl_financials[[#This Row],[Revenue]]*(0.12+MOD(ROW(),7)/100),2)</f>
        <v>5724.24</v>
      </c>
      <c r="S338" s="7">
        <f t="shared" si="5"/>
        <v>2478</v>
      </c>
      <c r="T338" s="5">
        <f>tbl_financials[[#This Row],[Gross_Profit]]-tbl_financials[[#This Row],[Operating_Expenses]]+tbl_financials[[#This Row],[Other_Income]]</f>
        <v>8331.2099999999009</v>
      </c>
      <c r="U338" s="11">
        <f>IF(tbl_financials[[#This Row],[Revenue]]=0,0,tbl_financials[[#This Row],[Net_Profit]]/tbl_financials[[#This Row],[Revenue]])</f>
        <v>0.20375958882248468</v>
      </c>
      <c r="V338" s="11" t="str">
        <f>tbl_financials[[#This Row],[Month_Name]] &amp; "_" &amp; tbl_financials[[#This Row],[Year]]</f>
        <v>September_2013</v>
      </c>
      <c r="W338" s="11" t="str">
        <f>tbl_financials[[#This Row],[Month_Name]] &amp; "_" &amp; (tbl_financials[[#This Row],[Year]]-1)</f>
        <v>September_2012</v>
      </c>
      <c r="X33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39" spans="1:24" x14ac:dyDescent="0.3">
      <c r="A339" t="s">
        <v>7</v>
      </c>
      <c r="B339" t="s">
        <v>15</v>
      </c>
      <c r="C339" t="s">
        <v>34</v>
      </c>
      <c r="D339" t="s">
        <v>40</v>
      </c>
      <c r="E339" s="9">
        <v>1535</v>
      </c>
      <c r="F339" s="7">
        <v>10</v>
      </c>
      <c r="G339" s="7">
        <v>20</v>
      </c>
      <c r="H339" s="7">
        <v>30700</v>
      </c>
      <c r="I339" s="5">
        <v>2149</v>
      </c>
      <c r="J339" s="5">
        <v>28551</v>
      </c>
      <c r="K339" s="7">
        <v>15350</v>
      </c>
      <c r="L339" s="5">
        <v>13201</v>
      </c>
      <c r="M339" s="1">
        <v>41883</v>
      </c>
      <c r="N339">
        <v>9</v>
      </c>
      <c r="O339" t="s">
        <v>26</v>
      </c>
      <c r="P339" t="s">
        <v>12</v>
      </c>
      <c r="Q339" s="5">
        <f>tbl_financials[[#This Row],[Net_Sales]]</f>
        <v>28551</v>
      </c>
      <c r="R339" s="5">
        <f>ROUND(tbl_financials[[#This Row],[Revenue]]*(0.12+MOD(ROW(),7)/100),2)</f>
        <v>4282.6499999999996</v>
      </c>
      <c r="S339" s="7">
        <f t="shared" si="5"/>
        <v>2509</v>
      </c>
      <c r="T339" s="5">
        <f>tbl_financials[[#This Row],[Gross_Profit]]-tbl_financials[[#This Row],[Operating_Expenses]]+tbl_financials[[#This Row],[Other_Income]]</f>
        <v>11427.35</v>
      </c>
      <c r="U339" s="11">
        <f>IF(tbl_financials[[#This Row],[Revenue]]=0,0,tbl_financials[[#This Row],[Net_Profit]]/tbl_financials[[#This Row],[Revenue]])</f>
        <v>0.40024342404819446</v>
      </c>
      <c r="V339" s="11" t="str">
        <f>tbl_financials[[#This Row],[Month_Name]] &amp; "_" &amp; tbl_financials[[#This Row],[Year]]</f>
        <v>September_2014</v>
      </c>
      <c r="W339" s="11" t="str">
        <f>tbl_financials[[#This Row],[Month_Name]] &amp; "_" &amp; (tbl_financials[[#This Row],[Year]]-1)</f>
        <v>September_2013</v>
      </c>
      <c r="X33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2.4670309653916211</v>
      </c>
    </row>
    <row r="340" spans="1:24" x14ac:dyDescent="0.3">
      <c r="A340" t="s">
        <v>4</v>
      </c>
      <c r="B340" t="s">
        <v>16</v>
      </c>
      <c r="C340" t="s">
        <v>34</v>
      </c>
      <c r="D340" t="s">
        <v>40</v>
      </c>
      <c r="E340" s="9">
        <v>1123</v>
      </c>
      <c r="F340" s="7">
        <v>10</v>
      </c>
      <c r="G340" s="7">
        <v>300</v>
      </c>
      <c r="H340" s="7">
        <v>336900</v>
      </c>
      <c r="I340" s="5">
        <v>23583</v>
      </c>
      <c r="J340" s="5">
        <v>313317</v>
      </c>
      <c r="K340" s="7">
        <v>280750</v>
      </c>
      <c r="L340" s="5">
        <v>32567</v>
      </c>
      <c r="M340" s="1">
        <v>41518</v>
      </c>
      <c r="N340">
        <v>9</v>
      </c>
      <c r="O340" t="s">
        <v>26</v>
      </c>
      <c r="P340" t="s">
        <v>11</v>
      </c>
      <c r="Q340" s="5">
        <f>tbl_financials[[#This Row],[Net_Sales]]</f>
        <v>313317</v>
      </c>
      <c r="R340" s="5">
        <f>ROUND(tbl_financials[[#This Row],[Revenue]]*(0.12+MOD(ROW(),7)/100),2)</f>
        <v>50130.720000000001</v>
      </c>
      <c r="S340" s="7">
        <f t="shared" si="5"/>
        <v>2540</v>
      </c>
      <c r="T340" s="5">
        <f>tbl_financials[[#This Row],[Gross_Profit]]-tbl_financials[[#This Row],[Operating_Expenses]]+tbl_financials[[#This Row],[Other_Income]]</f>
        <v>-15023.720000000001</v>
      </c>
      <c r="U340" s="11">
        <f>IF(tbl_financials[[#This Row],[Revenue]]=0,0,tbl_financials[[#This Row],[Net_Profit]]/tbl_financials[[#This Row],[Revenue]])</f>
        <v>-4.7950542102726638E-2</v>
      </c>
      <c r="V340" s="11" t="str">
        <f>tbl_financials[[#This Row],[Month_Name]] &amp; "_" &amp; tbl_financials[[#This Row],[Year]]</f>
        <v>September_2013</v>
      </c>
      <c r="W340" s="11" t="str">
        <f>tbl_financials[[#This Row],[Month_Name]] &amp; "_" &amp; (tbl_financials[[#This Row],[Year]]-1)</f>
        <v>September_2012</v>
      </c>
      <c r="X34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41" spans="1:24" x14ac:dyDescent="0.3">
      <c r="A341" t="s">
        <v>4</v>
      </c>
      <c r="B341" t="s">
        <v>13</v>
      </c>
      <c r="C341" t="s">
        <v>34</v>
      </c>
      <c r="D341" t="s">
        <v>40</v>
      </c>
      <c r="E341" s="9">
        <v>1404</v>
      </c>
      <c r="F341" s="7">
        <v>10</v>
      </c>
      <c r="G341" s="7">
        <v>300</v>
      </c>
      <c r="H341" s="7">
        <v>421200</v>
      </c>
      <c r="I341" s="5">
        <v>29484</v>
      </c>
      <c r="J341" s="5">
        <v>391716</v>
      </c>
      <c r="K341" s="7">
        <v>351000</v>
      </c>
      <c r="L341" s="5">
        <v>40716</v>
      </c>
      <c r="M341" s="1">
        <v>41579</v>
      </c>
      <c r="N341">
        <v>11</v>
      </c>
      <c r="O341" t="s">
        <v>28</v>
      </c>
      <c r="P341" t="s">
        <v>11</v>
      </c>
      <c r="Q341" s="5">
        <f>tbl_financials[[#This Row],[Net_Sales]]</f>
        <v>391716</v>
      </c>
      <c r="R341" s="5">
        <f>ROUND(tbl_financials[[#This Row],[Revenue]]*(0.12+MOD(ROW(),7)/100),2)</f>
        <v>66591.72</v>
      </c>
      <c r="S341" s="7">
        <f t="shared" si="5"/>
        <v>2571</v>
      </c>
      <c r="T341" s="5">
        <f>tbl_financials[[#This Row],[Gross_Profit]]-tbl_financials[[#This Row],[Operating_Expenses]]+tbl_financials[[#This Row],[Other_Income]]</f>
        <v>-23304.720000000001</v>
      </c>
      <c r="U341" s="11">
        <f>IF(tbl_financials[[#This Row],[Revenue]]=0,0,tbl_financials[[#This Row],[Net_Profit]]/tbl_financials[[#This Row],[Revenue]])</f>
        <v>-5.9493919063811539E-2</v>
      </c>
      <c r="V341" s="11" t="str">
        <f>tbl_financials[[#This Row],[Month_Name]] &amp; "_" &amp; tbl_financials[[#This Row],[Year]]</f>
        <v>November_2013</v>
      </c>
      <c r="W341" s="11" t="str">
        <f>tbl_financials[[#This Row],[Month_Name]] &amp; "_" &amp; (tbl_financials[[#This Row],[Year]]-1)</f>
        <v>November_2012</v>
      </c>
      <c r="X34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42" spans="1:24" x14ac:dyDescent="0.3">
      <c r="A342" t="s">
        <v>8</v>
      </c>
      <c r="B342" t="s">
        <v>17</v>
      </c>
      <c r="C342" t="s">
        <v>34</v>
      </c>
      <c r="D342" t="s">
        <v>40</v>
      </c>
      <c r="E342" s="9">
        <v>2763</v>
      </c>
      <c r="F342" s="7">
        <v>10</v>
      </c>
      <c r="G342" s="7">
        <v>12</v>
      </c>
      <c r="H342" s="7">
        <v>33156</v>
      </c>
      <c r="I342" s="5">
        <v>2320.92</v>
      </c>
      <c r="J342" s="5">
        <v>30835.08</v>
      </c>
      <c r="K342" s="7">
        <v>8289</v>
      </c>
      <c r="L342" s="5">
        <v>22546.080000000002</v>
      </c>
      <c r="M342" s="1">
        <v>41579</v>
      </c>
      <c r="N342">
        <v>11</v>
      </c>
      <c r="O342" t="s">
        <v>28</v>
      </c>
      <c r="P342" t="s">
        <v>11</v>
      </c>
      <c r="Q342" s="5">
        <f>tbl_financials[[#This Row],[Net_Sales]]</f>
        <v>30835.08</v>
      </c>
      <c r="R342" s="5">
        <f>ROUND(tbl_financials[[#This Row],[Revenue]]*(0.12+MOD(ROW(),7)/100),2)</f>
        <v>5550.31</v>
      </c>
      <c r="S342" s="7">
        <f t="shared" si="5"/>
        <v>2602</v>
      </c>
      <c r="T342" s="5">
        <f>tbl_financials[[#This Row],[Gross_Profit]]-tbl_financials[[#This Row],[Operating_Expenses]]+tbl_financials[[#This Row],[Other_Income]]</f>
        <v>19597.77</v>
      </c>
      <c r="U342" s="11">
        <f>IF(tbl_financials[[#This Row],[Revenue]]=0,0,tbl_financials[[#This Row],[Net_Profit]]/tbl_financials[[#This Row],[Revenue]])</f>
        <v>0.63556734732000042</v>
      </c>
      <c r="V342" s="11" t="str">
        <f>tbl_financials[[#This Row],[Month_Name]] &amp; "_" &amp; tbl_financials[[#This Row],[Year]]</f>
        <v>November_2013</v>
      </c>
      <c r="W342" s="11" t="str">
        <f>tbl_financials[[#This Row],[Month_Name]] &amp; "_" &amp; (tbl_financials[[#This Row],[Year]]-1)</f>
        <v>November_2012</v>
      </c>
      <c r="X34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43" spans="1:24" x14ac:dyDescent="0.3">
      <c r="A343" t="s">
        <v>7</v>
      </c>
      <c r="B343" t="s">
        <v>16</v>
      </c>
      <c r="C343" t="s">
        <v>34</v>
      </c>
      <c r="D343" t="s">
        <v>40</v>
      </c>
      <c r="E343" s="9">
        <v>2125</v>
      </c>
      <c r="F343" s="7">
        <v>10</v>
      </c>
      <c r="G343" s="7">
        <v>7</v>
      </c>
      <c r="H343" s="7">
        <v>14875</v>
      </c>
      <c r="I343" s="5">
        <v>1041.25</v>
      </c>
      <c r="J343" s="5">
        <v>13833.75</v>
      </c>
      <c r="K343" s="7">
        <v>10625</v>
      </c>
      <c r="L343" s="5">
        <v>3208.75</v>
      </c>
      <c r="M343" s="1">
        <v>41609</v>
      </c>
      <c r="N343">
        <v>12</v>
      </c>
      <c r="O343" t="s">
        <v>29</v>
      </c>
      <c r="P343" t="s">
        <v>11</v>
      </c>
      <c r="Q343" s="5">
        <f>tbl_financials[[#This Row],[Net_Sales]]</f>
        <v>13833.75</v>
      </c>
      <c r="R343" s="5">
        <f>ROUND(tbl_financials[[#This Row],[Revenue]]*(0.12+MOD(ROW(),7)/100),2)</f>
        <v>1660.05</v>
      </c>
      <c r="S343" s="7">
        <f t="shared" si="5"/>
        <v>2633</v>
      </c>
      <c r="T343" s="5">
        <f>tbl_financials[[#This Row],[Gross_Profit]]-tbl_financials[[#This Row],[Operating_Expenses]]+tbl_financials[[#This Row],[Other_Income]]</f>
        <v>4181.7</v>
      </c>
      <c r="U343" s="11">
        <f>IF(tbl_financials[[#This Row],[Revenue]]=0,0,tbl_financials[[#This Row],[Net_Profit]]/tbl_financials[[#This Row],[Revenue]])</f>
        <v>0.30228246137164544</v>
      </c>
      <c r="V343" s="11" t="str">
        <f>tbl_financials[[#This Row],[Month_Name]] &amp; "_" &amp; tbl_financials[[#This Row],[Year]]</f>
        <v>December_2013</v>
      </c>
      <c r="W343" s="11" t="str">
        <f>tbl_financials[[#This Row],[Month_Name]] &amp; "_" &amp; (tbl_financials[[#This Row],[Year]]-1)</f>
        <v>December_2012</v>
      </c>
      <c r="X34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44" spans="1:24" x14ac:dyDescent="0.3">
      <c r="A344" t="s">
        <v>4</v>
      </c>
      <c r="B344" t="s">
        <v>15</v>
      </c>
      <c r="C344" t="s">
        <v>35</v>
      </c>
      <c r="D344" t="s">
        <v>40</v>
      </c>
      <c r="E344" s="9">
        <v>1659</v>
      </c>
      <c r="F344" s="7">
        <v>120</v>
      </c>
      <c r="G344" s="7">
        <v>300</v>
      </c>
      <c r="H344" s="7">
        <v>497700</v>
      </c>
      <c r="I344" s="5">
        <v>34839</v>
      </c>
      <c r="J344" s="5">
        <v>462861</v>
      </c>
      <c r="K344" s="7">
        <v>414750</v>
      </c>
      <c r="L344" s="5">
        <v>48111</v>
      </c>
      <c r="M344" s="1">
        <v>41821</v>
      </c>
      <c r="N344">
        <v>7</v>
      </c>
      <c r="O344" t="s">
        <v>24</v>
      </c>
      <c r="P344" t="s">
        <v>12</v>
      </c>
      <c r="Q344" s="5">
        <f>tbl_financials[[#This Row],[Net_Sales]]</f>
        <v>462861</v>
      </c>
      <c r="R344" s="5">
        <f>ROUND(tbl_financials[[#This Row],[Revenue]]*(0.12+MOD(ROW(),7)/100),2)</f>
        <v>60171.93</v>
      </c>
      <c r="S344" s="7">
        <f t="shared" si="5"/>
        <v>2664</v>
      </c>
      <c r="T344" s="5">
        <f>tbl_financials[[#This Row],[Gross_Profit]]-tbl_financials[[#This Row],[Operating_Expenses]]+tbl_financials[[#This Row],[Other_Income]]</f>
        <v>-9396.93</v>
      </c>
      <c r="U344" s="11">
        <f>IF(tbl_financials[[#This Row],[Revenue]]=0,0,tbl_financials[[#This Row],[Net_Profit]]/tbl_financials[[#This Row],[Revenue]])</f>
        <v>-2.0301840077258618E-2</v>
      </c>
      <c r="V344" s="11" t="str">
        <f>tbl_financials[[#This Row],[Month_Name]] &amp; "_" &amp; tbl_financials[[#This Row],[Year]]</f>
        <v>July_2014</v>
      </c>
      <c r="W344" s="11" t="str">
        <f>tbl_financials[[#This Row],[Month_Name]] &amp; "_" &amp; (tbl_financials[[#This Row],[Year]]-1)</f>
        <v>July_2013</v>
      </c>
      <c r="X34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45" spans="1:24" x14ac:dyDescent="0.3">
      <c r="A345" t="s">
        <v>7</v>
      </c>
      <c r="B345" t="s">
        <v>17</v>
      </c>
      <c r="C345" t="s">
        <v>35</v>
      </c>
      <c r="D345" t="s">
        <v>40</v>
      </c>
      <c r="E345" s="9">
        <v>609</v>
      </c>
      <c r="F345" s="7">
        <v>120</v>
      </c>
      <c r="G345" s="7">
        <v>20</v>
      </c>
      <c r="H345" s="7">
        <v>12180</v>
      </c>
      <c r="I345" s="5">
        <v>852.6</v>
      </c>
      <c r="J345" s="5">
        <v>11327.4</v>
      </c>
      <c r="K345" s="7">
        <v>6090</v>
      </c>
      <c r="L345" s="5">
        <v>5237.3999999999996</v>
      </c>
      <c r="M345" s="1">
        <v>41852</v>
      </c>
      <c r="N345">
        <v>8</v>
      </c>
      <c r="O345" t="s">
        <v>25</v>
      </c>
      <c r="P345" t="s">
        <v>12</v>
      </c>
      <c r="Q345" s="5">
        <f>tbl_financials[[#This Row],[Net_Sales]]</f>
        <v>11327.4</v>
      </c>
      <c r="R345" s="5">
        <f>ROUND(tbl_financials[[#This Row],[Revenue]]*(0.12+MOD(ROW(),7)/100),2)</f>
        <v>1585.84</v>
      </c>
      <c r="S345" s="7">
        <f t="shared" si="5"/>
        <v>2695</v>
      </c>
      <c r="T345" s="5">
        <f>tbl_financials[[#This Row],[Gross_Profit]]-tbl_financials[[#This Row],[Operating_Expenses]]+tbl_financials[[#This Row],[Other_Income]]</f>
        <v>6346.5599999999995</v>
      </c>
      <c r="U345" s="11">
        <f>IF(tbl_financials[[#This Row],[Revenue]]=0,0,tbl_financials[[#This Row],[Net_Profit]]/tbl_financials[[#This Row],[Revenue]])</f>
        <v>0.56028391334286776</v>
      </c>
      <c r="V345" s="11" t="str">
        <f>tbl_financials[[#This Row],[Month_Name]] &amp; "_" &amp; tbl_financials[[#This Row],[Year]]</f>
        <v>August_2014</v>
      </c>
      <c r="W345" s="11" t="str">
        <f>tbl_financials[[#This Row],[Month_Name]] &amp; "_" &amp; (tbl_financials[[#This Row],[Year]]-1)</f>
        <v>August_2013</v>
      </c>
      <c r="X34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46" spans="1:24" x14ac:dyDescent="0.3">
      <c r="A346" t="s">
        <v>6</v>
      </c>
      <c r="B346" t="s">
        <v>16</v>
      </c>
      <c r="C346" t="s">
        <v>35</v>
      </c>
      <c r="D346" t="s">
        <v>40</v>
      </c>
      <c r="E346" s="9">
        <v>2087</v>
      </c>
      <c r="F346" s="7">
        <v>120</v>
      </c>
      <c r="G346" s="7">
        <v>125</v>
      </c>
      <c r="H346" s="7">
        <v>260875</v>
      </c>
      <c r="I346" s="5">
        <v>18261.25</v>
      </c>
      <c r="J346" s="5">
        <v>242613.75</v>
      </c>
      <c r="K346" s="7">
        <v>250440</v>
      </c>
      <c r="L346" s="5">
        <v>-7826.25</v>
      </c>
      <c r="M346" s="1">
        <v>41883</v>
      </c>
      <c r="N346">
        <v>9</v>
      </c>
      <c r="O346" t="s">
        <v>26</v>
      </c>
      <c r="P346" t="s">
        <v>12</v>
      </c>
      <c r="Q346" s="5">
        <f>tbl_financials[[#This Row],[Net_Sales]]</f>
        <v>242613.75</v>
      </c>
      <c r="R346" s="5">
        <f>ROUND(tbl_financials[[#This Row],[Revenue]]*(0.12+MOD(ROW(),7)/100),2)</f>
        <v>36392.06</v>
      </c>
      <c r="S346" s="7">
        <f t="shared" si="5"/>
        <v>2726</v>
      </c>
      <c r="T346" s="5">
        <f>tbl_financials[[#This Row],[Gross_Profit]]-tbl_financials[[#This Row],[Operating_Expenses]]+tbl_financials[[#This Row],[Other_Income]]</f>
        <v>-41492.31</v>
      </c>
      <c r="U346" s="11">
        <f>IF(tbl_financials[[#This Row],[Revenue]]=0,0,tbl_financials[[#This Row],[Net_Profit]]/tbl_financials[[#This Row],[Revenue]])</f>
        <v>-0.17102208757747653</v>
      </c>
      <c r="V346" s="11" t="str">
        <f>tbl_financials[[#This Row],[Month_Name]] &amp; "_" &amp; tbl_financials[[#This Row],[Year]]</f>
        <v>September_2014</v>
      </c>
      <c r="W346" s="11" t="str">
        <f>tbl_financials[[#This Row],[Month_Name]] &amp; "_" &amp; (tbl_financials[[#This Row],[Year]]-1)</f>
        <v>September_2013</v>
      </c>
      <c r="X34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28.461293260473589</v>
      </c>
    </row>
    <row r="347" spans="1:24" x14ac:dyDescent="0.3">
      <c r="A347" t="s">
        <v>7</v>
      </c>
      <c r="B347" t="s">
        <v>15</v>
      </c>
      <c r="C347" t="s">
        <v>35</v>
      </c>
      <c r="D347" t="s">
        <v>40</v>
      </c>
      <c r="E347" s="9">
        <v>1976</v>
      </c>
      <c r="F347" s="7">
        <v>120</v>
      </c>
      <c r="G347" s="7">
        <v>20</v>
      </c>
      <c r="H347" s="7">
        <v>39520</v>
      </c>
      <c r="I347" s="5">
        <v>2766.4</v>
      </c>
      <c r="J347" s="5">
        <v>36753.599999999999</v>
      </c>
      <c r="K347" s="7">
        <v>19760</v>
      </c>
      <c r="L347" s="5">
        <v>16993.599999999999</v>
      </c>
      <c r="M347" s="1">
        <v>41913</v>
      </c>
      <c r="N347">
        <v>10</v>
      </c>
      <c r="O347" t="s">
        <v>27</v>
      </c>
      <c r="P347" t="s">
        <v>12</v>
      </c>
      <c r="Q347" s="5">
        <f>tbl_financials[[#This Row],[Net_Sales]]</f>
        <v>36753.599999999999</v>
      </c>
      <c r="R347" s="5">
        <f>ROUND(tbl_financials[[#This Row],[Revenue]]*(0.12+MOD(ROW(),7)/100),2)</f>
        <v>5880.58</v>
      </c>
      <c r="S347" s="7">
        <f t="shared" si="5"/>
        <v>2757</v>
      </c>
      <c r="T347" s="5">
        <f>tbl_financials[[#This Row],[Gross_Profit]]-tbl_financials[[#This Row],[Operating_Expenses]]+tbl_financials[[#This Row],[Other_Income]]</f>
        <v>13870.019999999999</v>
      </c>
      <c r="U347" s="11">
        <f>IF(tbl_financials[[#This Row],[Revenue]]=0,0,tbl_financials[[#This Row],[Net_Profit]]/tbl_financials[[#This Row],[Revenue]])</f>
        <v>0.37737854251012143</v>
      </c>
      <c r="V347" s="11" t="str">
        <f>tbl_financials[[#This Row],[Month_Name]] &amp; "_" &amp; tbl_financials[[#This Row],[Year]]</f>
        <v>October_2014</v>
      </c>
      <c r="W347" s="11" t="str">
        <f>tbl_financials[[#This Row],[Month_Name]] &amp; "_" &amp; (tbl_financials[[#This Row],[Year]]-1)</f>
        <v>October_2013</v>
      </c>
      <c r="X34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-0.1477426086956522</v>
      </c>
    </row>
    <row r="348" spans="1:24" x14ac:dyDescent="0.3">
      <c r="A348" t="s">
        <v>7</v>
      </c>
      <c r="B348" t="s">
        <v>14</v>
      </c>
      <c r="C348" t="s">
        <v>35</v>
      </c>
      <c r="D348" t="s">
        <v>40</v>
      </c>
      <c r="E348" s="9">
        <v>1421</v>
      </c>
      <c r="F348" s="7">
        <v>120</v>
      </c>
      <c r="G348" s="7">
        <v>20</v>
      </c>
      <c r="H348" s="7">
        <v>28420</v>
      </c>
      <c r="I348" s="5">
        <v>1989.4</v>
      </c>
      <c r="J348" s="5">
        <v>26430.6</v>
      </c>
      <c r="K348" s="7">
        <v>14210</v>
      </c>
      <c r="L348" s="5">
        <v>12220.5999999999</v>
      </c>
      <c r="M348" s="1">
        <v>41609</v>
      </c>
      <c r="N348">
        <v>12</v>
      </c>
      <c r="O348" t="s">
        <v>29</v>
      </c>
      <c r="P348" t="s">
        <v>11</v>
      </c>
      <c r="Q348" s="5">
        <f>tbl_financials[[#This Row],[Net_Sales]]</f>
        <v>26430.6</v>
      </c>
      <c r="R348" s="5">
        <f>ROUND(tbl_financials[[#This Row],[Revenue]]*(0.12+MOD(ROW(),7)/100),2)</f>
        <v>4493.2</v>
      </c>
      <c r="S348" s="7">
        <f t="shared" si="5"/>
        <v>2788</v>
      </c>
      <c r="T348" s="5">
        <f>tbl_financials[[#This Row],[Gross_Profit]]-tbl_financials[[#This Row],[Operating_Expenses]]+tbl_financials[[#This Row],[Other_Income]]</f>
        <v>10515.3999999999</v>
      </c>
      <c r="U348" s="11">
        <f>IF(tbl_financials[[#This Row],[Revenue]]=0,0,tbl_financials[[#This Row],[Net_Profit]]/tbl_financials[[#This Row],[Revenue]])</f>
        <v>0.3978494623655876</v>
      </c>
      <c r="V348" s="11" t="str">
        <f>tbl_financials[[#This Row],[Month_Name]] &amp; "_" &amp; tbl_financials[[#This Row],[Year]]</f>
        <v>December_2013</v>
      </c>
      <c r="W348" s="11" t="str">
        <f>tbl_financials[[#This Row],[Month_Name]] &amp; "_" &amp; (tbl_financials[[#This Row],[Year]]-1)</f>
        <v>December_2012</v>
      </c>
      <c r="X34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49" spans="1:24" x14ac:dyDescent="0.3">
      <c r="A349" t="s">
        <v>4</v>
      </c>
      <c r="B349" t="s">
        <v>14</v>
      </c>
      <c r="C349" t="s">
        <v>35</v>
      </c>
      <c r="D349" t="s">
        <v>40</v>
      </c>
      <c r="E349" s="9">
        <v>1372</v>
      </c>
      <c r="F349" s="7">
        <v>120</v>
      </c>
      <c r="G349" s="7">
        <v>300</v>
      </c>
      <c r="H349" s="7">
        <v>411600</v>
      </c>
      <c r="I349" s="5">
        <v>28812</v>
      </c>
      <c r="J349" s="5">
        <v>382788</v>
      </c>
      <c r="K349" s="7">
        <v>343000</v>
      </c>
      <c r="L349" s="5">
        <v>39788</v>
      </c>
      <c r="M349" s="1">
        <v>41974</v>
      </c>
      <c r="N349">
        <v>12</v>
      </c>
      <c r="O349" t="s">
        <v>29</v>
      </c>
      <c r="P349" t="s">
        <v>12</v>
      </c>
      <c r="Q349" s="5">
        <f>tbl_financials[[#This Row],[Net_Sales]]</f>
        <v>382788</v>
      </c>
      <c r="R349" s="5">
        <f>ROUND(tbl_financials[[#This Row],[Revenue]]*(0.12+MOD(ROW(),7)/100),2)</f>
        <v>68901.84</v>
      </c>
      <c r="S349" s="7">
        <f t="shared" si="5"/>
        <v>2819</v>
      </c>
      <c r="T349" s="5">
        <f>tbl_financials[[#This Row],[Gross_Profit]]-tbl_financials[[#This Row],[Operating_Expenses]]+tbl_financials[[#This Row],[Other_Income]]</f>
        <v>-26294.839999999997</v>
      </c>
      <c r="U349" s="11">
        <f>IF(tbl_financials[[#This Row],[Revenue]]=0,0,tbl_financials[[#This Row],[Net_Profit]]/tbl_financials[[#This Row],[Revenue]])</f>
        <v>-6.8692957981963898E-2</v>
      </c>
      <c r="V349" s="11" t="str">
        <f>tbl_financials[[#This Row],[Month_Name]] &amp; "_" &amp; tbl_financials[[#This Row],[Year]]</f>
        <v>December_2014</v>
      </c>
      <c r="W349" s="11" t="str">
        <f>tbl_financials[[#This Row],[Month_Name]] &amp; "_" &amp; (tbl_financials[[#This Row],[Year]]-1)</f>
        <v>December_2013</v>
      </c>
      <c r="X34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10.858364312267659</v>
      </c>
    </row>
    <row r="350" spans="1:24" x14ac:dyDescent="0.3">
      <c r="A350" t="s">
        <v>7</v>
      </c>
      <c r="B350" t="s">
        <v>16</v>
      </c>
      <c r="C350" t="s">
        <v>35</v>
      </c>
      <c r="D350" t="s">
        <v>40</v>
      </c>
      <c r="E350" s="9">
        <v>588</v>
      </c>
      <c r="F350" s="7">
        <v>120</v>
      </c>
      <c r="G350" s="7">
        <v>20</v>
      </c>
      <c r="H350" s="7">
        <v>11760</v>
      </c>
      <c r="I350" s="5">
        <v>823.2</v>
      </c>
      <c r="J350" s="5">
        <v>10936.8</v>
      </c>
      <c r="K350" s="7">
        <v>5880</v>
      </c>
      <c r="L350" s="5">
        <v>5056.7999999999902</v>
      </c>
      <c r="M350" s="1">
        <v>41609</v>
      </c>
      <c r="N350">
        <v>12</v>
      </c>
      <c r="O350" t="s">
        <v>29</v>
      </c>
      <c r="P350" t="s">
        <v>11</v>
      </c>
      <c r="Q350" s="5">
        <f>tbl_financials[[#This Row],[Net_Sales]]</f>
        <v>10936.8</v>
      </c>
      <c r="R350" s="5">
        <f>ROUND(tbl_financials[[#This Row],[Revenue]]*(0.12+MOD(ROW(),7)/100),2)</f>
        <v>1312.42</v>
      </c>
      <c r="S350" s="7">
        <f t="shared" si="5"/>
        <v>2850</v>
      </c>
      <c r="T350" s="5">
        <f>tbl_financials[[#This Row],[Gross_Profit]]-tbl_financials[[#This Row],[Operating_Expenses]]+tbl_financials[[#This Row],[Other_Income]]</f>
        <v>6594.3799999999901</v>
      </c>
      <c r="U350" s="11">
        <f>IF(tbl_financials[[#This Row],[Revenue]]=0,0,tbl_financials[[#This Row],[Net_Profit]]/tbl_financials[[#This Row],[Revenue]])</f>
        <v>0.60295333187038169</v>
      </c>
      <c r="V350" s="11" t="str">
        <f>tbl_financials[[#This Row],[Month_Name]] &amp; "_" &amp; tbl_financials[[#This Row],[Year]]</f>
        <v>December_2013</v>
      </c>
      <c r="W350" s="11" t="str">
        <f>tbl_financials[[#This Row],[Month_Name]] &amp; "_" &amp; (tbl_financials[[#This Row],[Year]]-1)</f>
        <v>December_2012</v>
      </c>
      <c r="X35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51" spans="1:24" x14ac:dyDescent="0.3">
      <c r="A351" t="s">
        <v>8</v>
      </c>
      <c r="B351" t="s">
        <v>13</v>
      </c>
      <c r="C351" t="s">
        <v>36</v>
      </c>
      <c r="D351" t="s">
        <v>40</v>
      </c>
      <c r="E351" s="9">
        <v>3244.5</v>
      </c>
      <c r="F351" s="7">
        <v>250</v>
      </c>
      <c r="G351" s="7">
        <v>12</v>
      </c>
      <c r="H351" s="7">
        <v>38934</v>
      </c>
      <c r="I351" s="5">
        <v>2725.38</v>
      </c>
      <c r="J351" s="5">
        <v>36208.620000000003</v>
      </c>
      <c r="K351" s="7">
        <v>9733.5</v>
      </c>
      <c r="L351" s="5">
        <v>26475.119999999999</v>
      </c>
      <c r="M351" s="1">
        <v>41640</v>
      </c>
      <c r="N351">
        <v>1</v>
      </c>
      <c r="O351" t="s">
        <v>18</v>
      </c>
      <c r="P351" t="s">
        <v>12</v>
      </c>
      <c r="Q351" s="5">
        <f>tbl_financials[[#This Row],[Net_Sales]]</f>
        <v>36208.620000000003</v>
      </c>
      <c r="R351" s="5">
        <f>ROUND(tbl_financials[[#This Row],[Revenue]]*(0.12+MOD(ROW(),7)/100),2)</f>
        <v>4707.12</v>
      </c>
      <c r="S351" s="7">
        <f t="shared" si="5"/>
        <v>2881</v>
      </c>
      <c r="T351" s="5">
        <f>tbl_financials[[#This Row],[Gross_Profit]]-tbl_financials[[#This Row],[Operating_Expenses]]+tbl_financials[[#This Row],[Other_Income]]</f>
        <v>24649</v>
      </c>
      <c r="U351" s="11">
        <f>IF(tbl_financials[[#This Row],[Revenue]]=0,0,tbl_financials[[#This Row],[Net_Profit]]/tbl_financials[[#This Row],[Revenue]])</f>
        <v>0.68074950108565302</v>
      </c>
      <c r="V351" s="11" t="str">
        <f>tbl_financials[[#This Row],[Month_Name]] &amp; "_" &amp; tbl_financials[[#This Row],[Year]]</f>
        <v>January_2014</v>
      </c>
      <c r="W351" s="11" t="str">
        <f>tbl_financials[[#This Row],[Month_Name]] &amp; "_" &amp; (tbl_financials[[#This Row],[Year]]-1)</f>
        <v>January_2013</v>
      </c>
      <c r="X35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52" spans="1:24" x14ac:dyDescent="0.3">
      <c r="A352" t="s">
        <v>4</v>
      </c>
      <c r="B352" t="s">
        <v>15</v>
      </c>
      <c r="C352" t="s">
        <v>36</v>
      </c>
      <c r="D352" t="s">
        <v>40</v>
      </c>
      <c r="E352" s="9">
        <v>959</v>
      </c>
      <c r="F352" s="7">
        <v>250</v>
      </c>
      <c r="G352" s="7">
        <v>300</v>
      </c>
      <c r="H352" s="7">
        <v>287700</v>
      </c>
      <c r="I352" s="5">
        <v>20139</v>
      </c>
      <c r="J352" s="5">
        <v>267561</v>
      </c>
      <c r="K352" s="7">
        <v>239750</v>
      </c>
      <c r="L352" s="5">
        <v>27811</v>
      </c>
      <c r="M352" s="1">
        <v>41671</v>
      </c>
      <c r="N352">
        <v>2</v>
      </c>
      <c r="O352" t="s">
        <v>19</v>
      </c>
      <c r="P352" t="s">
        <v>12</v>
      </c>
      <c r="Q352" s="5">
        <f>tbl_financials[[#This Row],[Net_Sales]]</f>
        <v>267561</v>
      </c>
      <c r="R352" s="5">
        <f>ROUND(tbl_financials[[#This Row],[Revenue]]*(0.12+MOD(ROW(),7)/100),2)</f>
        <v>37458.54</v>
      </c>
      <c r="S352" s="7">
        <f t="shared" si="5"/>
        <v>2912</v>
      </c>
      <c r="T352" s="5">
        <f>tbl_financials[[#This Row],[Gross_Profit]]-tbl_financials[[#This Row],[Operating_Expenses]]+tbl_financials[[#This Row],[Other_Income]]</f>
        <v>-6735.5400000000009</v>
      </c>
      <c r="U352" s="11">
        <f>IF(tbl_financials[[#This Row],[Revenue]]=0,0,tbl_financials[[#This Row],[Net_Profit]]/tbl_financials[[#This Row],[Revenue]])</f>
        <v>-2.5173848206577195E-2</v>
      </c>
      <c r="V352" s="11" t="str">
        <f>tbl_financials[[#This Row],[Month_Name]] &amp; "_" &amp; tbl_financials[[#This Row],[Year]]</f>
        <v>February_2014</v>
      </c>
      <c r="W352" s="11" t="str">
        <f>tbl_financials[[#This Row],[Month_Name]] &amp; "_" &amp; (tbl_financials[[#This Row],[Year]]-1)</f>
        <v>February_2013</v>
      </c>
      <c r="X35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53" spans="1:24" x14ac:dyDescent="0.3">
      <c r="A353" t="s">
        <v>4</v>
      </c>
      <c r="B353" t="s">
        <v>17</v>
      </c>
      <c r="C353" t="s">
        <v>36</v>
      </c>
      <c r="D353" t="s">
        <v>40</v>
      </c>
      <c r="E353" s="9">
        <v>2747</v>
      </c>
      <c r="F353" s="7">
        <v>250</v>
      </c>
      <c r="G353" s="7">
        <v>300</v>
      </c>
      <c r="H353" s="7">
        <v>824100</v>
      </c>
      <c r="I353" s="5">
        <v>57687</v>
      </c>
      <c r="J353" s="5">
        <v>766413</v>
      </c>
      <c r="K353" s="7">
        <v>686750</v>
      </c>
      <c r="L353" s="5">
        <v>79663</v>
      </c>
      <c r="M353" s="1">
        <v>41671</v>
      </c>
      <c r="N353">
        <v>2</v>
      </c>
      <c r="O353" t="s">
        <v>19</v>
      </c>
      <c r="P353" t="s">
        <v>12</v>
      </c>
      <c r="Q353" s="5">
        <f>tbl_financials[[#This Row],[Net_Sales]]</f>
        <v>766413</v>
      </c>
      <c r="R353" s="5">
        <f>ROUND(tbl_financials[[#This Row],[Revenue]]*(0.12+MOD(ROW(),7)/100),2)</f>
        <v>114961.95</v>
      </c>
      <c r="S353" s="7">
        <f t="shared" si="5"/>
        <v>2943</v>
      </c>
      <c r="T353" s="5">
        <f>tbl_financials[[#This Row],[Gross_Profit]]-tbl_financials[[#This Row],[Operating_Expenses]]+tbl_financials[[#This Row],[Other_Income]]</f>
        <v>-32355.949999999997</v>
      </c>
      <c r="U353" s="11">
        <f>IF(tbl_financials[[#This Row],[Revenue]]=0,0,tbl_financials[[#This Row],[Net_Profit]]/tbl_financials[[#This Row],[Revenue]])</f>
        <v>-4.2217381490136513E-2</v>
      </c>
      <c r="V353" s="11" t="str">
        <f>tbl_financials[[#This Row],[Month_Name]] &amp; "_" &amp; tbl_financials[[#This Row],[Year]]</f>
        <v>February_2014</v>
      </c>
      <c r="W353" s="11" t="str">
        <f>tbl_financials[[#This Row],[Month_Name]] &amp; "_" &amp; (tbl_financials[[#This Row],[Year]]-1)</f>
        <v>February_2013</v>
      </c>
      <c r="X35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54" spans="1:24" x14ac:dyDescent="0.3">
      <c r="A354" t="s">
        <v>6</v>
      </c>
      <c r="B354" t="s">
        <v>13</v>
      </c>
      <c r="C354" t="s">
        <v>37</v>
      </c>
      <c r="D354" t="s">
        <v>40</v>
      </c>
      <c r="E354" s="9">
        <v>1645</v>
      </c>
      <c r="F354" s="7">
        <v>260</v>
      </c>
      <c r="G354" s="7">
        <v>125</v>
      </c>
      <c r="H354" s="7">
        <v>205625</v>
      </c>
      <c r="I354" s="5">
        <v>14393.75</v>
      </c>
      <c r="J354" s="5">
        <v>191231.25</v>
      </c>
      <c r="K354" s="7">
        <v>197400</v>
      </c>
      <c r="L354" s="5">
        <v>-6168.75</v>
      </c>
      <c r="M354" s="1">
        <v>41760</v>
      </c>
      <c r="N354">
        <v>5</v>
      </c>
      <c r="O354" t="s">
        <v>22</v>
      </c>
      <c r="P354" t="s">
        <v>12</v>
      </c>
      <c r="Q354" s="5">
        <f>tbl_financials[[#This Row],[Net_Sales]]</f>
        <v>191231.25</v>
      </c>
      <c r="R354" s="5">
        <f>ROUND(tbl_financials[[#This Row],[Revenue]]*(0.12+MOD(ROW(),7)/100),2)</f>
        <v>30597</v>
      </c>
      <c r="S354" s="7">
        <f t="shared" si="5"/>
        <v>2974</v>
      </c>
      <c r="T354" s="5">
        <f>tbl_financials[[#This Row],[Gross_Profit]]-tbl_financials[[#This Row],[Operating_Expenses]]+tbl_financials[[#This Row],[Other_Income]]</f>
        <v>-33791.75</v>
      </c>
      <c r="U354" s="11">
        <f>IF(tbl_financials[[#This Row],[Revenue]]=0,0,tbl_financials[[#This Row],[Net_Profit]]/tbl_financials[[#This Row],[Revenue]])</f>
        <v>-0.17670621302742098</v>
      </c>
      <c r="V354" s="11" t="str">
        <f>tbl_financials[[#This Row],[Month_Name]] &amp; "_" &amp; tbl_financials[[#This Row],[Year]]</f>
        <v>May_2014</v>
      </c>
      <c r="W354" s="11" t="str">
        <f>tbl_financials[[#This Row],[Month_Name]] &amp; "_" &amp; (tbl_financials[[#This Row],[Year]]-1)</f>
        <v>May_2013</v>
      </c>
      <c r="X35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55" spans="1:24" x14ac:dyDescent="0.3">
      <c r="A355" t="s">
        <v>7</v>
      </c>
      <c r="B355" t="s">
        <v>15</v>
      </c>
      <c r="C355" t="s">
        <v>37</v>
      </c>
      <c r="D355" t="s">
        <v>40</v>
      </c>
      <c r="E355" s="9">
        <v>2876</v>
      </c>
      <c r="F355" s="7">
        <v>260</v>
      </c>
      <c r="G355" s="7">
        <v>350</v>
      </c>
      <c r="H355" s="7">
        <v>1006600</v>
      </c>
      <c r="I355" s="5">
        <v>70462</v>
      </c>
      <c r="J355" s="5">
        <v>936138</v>
      </c>
      <c r="K355" s="7">
        <v>747760</v>
      </c>
      <c r="L355" s="5">
        <v>188378</v>
      </c>
      <c r="M355" s="1">
        <v>41883</v>
      </c>
      <c r="N355">
        <v>9</v>
      </c>
      <c r="O355" t="s">
        <v>26</v>
      </c>
      <c r="P355" t="s">
        <v>12</v>
      </c>
      <c r="Q355" s="5">
        <f>tbl_financials[[#This Row],[Net_Sales]]</f>
        <v>936138</v>
      </c>
      <c r="R355" s="5">
        <f>ROUND(tbl_financials[[#This Row],[Revenue]]*(0.12+MOD(ROW(),7)/100),2)</f>
        <v>159143.46</v>
      </c>
      <c r="S355" s="7">
        <f t="shared" si="5"/>
        <v>3005</v>
      </c>
      <c r="T355" s="5">
        <f>tbl_financials[[#This Row],[Gross_Profit]]-tbl_financials[[#This Row],[Operating_Expenses]]+tbl_financials[[#This Row],[Other_Income]]</f>
        <v>32239.540000000008</v>
      </c>
      <c r="U355" s="11">
        <f>IF(tbl_financials[[#This Row],[Revenue]]=0,0,tbl_financials[[#This Row],[Net_Profit]]/tbl_financials[[#This Row],[Revenue]])</f>
        <v>3.4438875464942141E-2</v>
      </c>
      <c r="V355" s="11" t="str">
        <f>tbl_financials[[#This Row],[Month_Name]] &amp; "_" &amp; tbl_financials[[#This Row],[Year]]</f>
        <v>September_2014</v>
      </c>
      <c r="W355" s="11" t="str">
        <f>tbl_financials[[#This Row],[Month_Name]] &amp; "_" &amp; (tbl_financials[[#This Row],[Year]]-1)</f>
        <v>September_2013</v>
      </c>
      <c r="X35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112.67795992714025</v>
      </c>
    </row>
    <row r="356" spans="1:24" x14ac:dyDescent="0.3">
      <c r="A356" t="s">
        <v>6</v>
      </c>
      <c r="B356" t="s">
        <v>16</v>
      </c>
      <c r="C356" t="s">
        <v>37</v>
      </c>
      <c r="D356" t="s">
        <v>40</v>
      </c>
      <c r="E356" s="9">
        <v>994</v>
      </c>
      <c r="F356" s="7">
        <v>260</v>
      </c>
      <c r="G356" s="7">
        <v>125</v>
      </c>
      <c r="H356" s="7">
        <v>124250</v>
      </c>
      <c r="I356" s="5">
        <v>8697.5</v>
      </c>
      <c r="J356" s="5">
        <v>115552.5</v>
      </c>
      <c r="K356" s="7">
        <v>119280</v>
      </c>
      <c r="L356" s="5">
        <v>-3727.5</v>
      </c>
      <c r="M356" s="1">
        <v>41518</v>
      </c>
      <c r="N356">
        <v>9</v>
      </c>
      <c r="O356" t="s">
        <v>26</v>
      </c>
      <c r="P356" t="s">
        <v>11</v>
      </c>
      <c r="Q356" s="5">
        <f>tbl_financials[[#This Row],[Net_Sales]]</f>
        <v>115552.5</v>
      </c>
      <c r="R356" s="5">
        <f>ROUND(tbl_financials[[#This Row],[Revenue]]*(0.12+MOD(ROW(),7)/100),2)</f>
        <v>20799.45</v>
      </c>
      <c r="S356" s="7">
        <f t="shared" si="5"/>
        <v>3036</v>
      </c>
      <c r="T356" s="5">
        <f>tbl_financials[[#This Row],[Gross_Profit]]-tbl_financials[[#This Row],[Operating_Expenses]]+tbl_financials[[#This Row],[Other_Income]]</f>
        <v>-21490.95</v>
      </c>
      <c r="U356" s="11">
        <f>IF(tbl_financials[[#This Row],[Revenue]]=0,0,tbl_financials[[#This Row],[Net_Profit]]/tbl_financials[[#This Row],[Revenue]])</f>
        <v>-0.18598429285389759</v>
      </c>
      <c r="V356" s="11" t="str">
        <f>tbl_financials[[#This Row],[Month_Name]] &amp; "_" &amp; tbl_financials[[#This Row],[Year]]</f>
        <v>September_2013</v>
      </c>
      <c r="W356" s="11" t="str">
        <f>tbl_financials[[#This Row],[Month_Name]] &amp; "_" &amp; (tbl_financials[[#This Row],[Year]]-1)</f>
        <v>September_2012</v>
      </c>
      <c r="X35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57" spans="1:24" x14ac:dyDescent="0.3">
      <c r="A357" t="s">
        <v>7</v>
      </c>
      <c r="B357" t="s">
        <v>13</v>
      </c>
      <c r="C357" t="s">
        <v>37</v>
      </c>
      <c r="D357" t="s">
        <v>40</v>
      </c>
      <c r="E357" s="9">
        <v>1118</v>
      </c>
      <c r="F357" s="7">
        <v>260</v>
      </c>
      <c r="G357" s="7">
        <v>20</v>
      </c>
      <c r="H357" s="7">
        <v>22360</v>
      </c>
      <c r="I357" s="5">
        <v>1565.2</v>
      </c>
      <c r="J357" s="5">
        <v>20794.8</v>
      </c>
      <c r="K357" s="7">
        <v>11180</v>
      </c>
      <c r="L357" s="5">
        <v>9614.7999999999993</v>
      </c>
      <c r="M357" s="1">
        <v>41944</v>
      </c>
      <c r="N357">
        <v>11</v>
      </c>
      <c r="O357" t="s">
        <v>28</v>
      </c>
      <c r="P357" t="s">
        <v>12</v>
      </c>
      <c r="Q357" s="5">
        <f>tbl_financials[[#This Row],[Net_Sales]]</f>
        <v>20794.8</v>
      </c>
      <c r="R357" s="5">
        <f>ROUND(tbl_financials[[#This Row],[Revenue]]*(0.12+MOD(ROW(),7)/100),2)</f>
        <v>2495.38</v>
      </c>
      <c r="S357" s="7">
        <f t="shared" si="5"/>
        <v>3067</v>
      </c>
      <c r="T357" s="5">
        <f>tbl_financials[[#This Row],[Gross_Profit]]-tbl_financials[[#This Row],[Operating_Expenses]]+tbl_financials[[#This Row],[Other_Income]]</f>
        <v>10186.419999999998</v>
      </c>
      <c r="U357" s="11">
        <f>IF(tbl_financials[[#This Row],[Revenue]]=0,0,tbl_financials[[#This Row],[Net_Profit]]/tbl_financials[[#This Row],[Revenue]])</f>
        <v>0.48985419431781013</v>
      </c>
      <c r="V357" s="11" t="str">
        <f>tbl_financials[[#This Row],[Month_Name]] &amp; "_" &amp; tbl_financials[[#This Row],[Year]]</f>
        <v>November_2014</v>
      </c>
      <c r="W357" s="11" t="str">
        <f>tbl_financials[[#This Row],[Month_Name]] &amp; "_" &amp; (tbl_financials[[#This Row],[Year]]-1)</f>
        <v>November_2013</v>
      </c>
      <c r="X35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-0.9655572670807453</v>
      </c>
    </row>
    <row r="358" spans="1:24" x14ac:dyDescent="0.3">
      <c r="A358" t="s">
        <v>4</v>
      </c>
      <c r="B358" t="s">
        <v>14</v>
      </c>
      <c r="C358" t="s">
        <v>37</v>
      </c>
      <c r="D358" t="s">
        <v>40</v>
      </c>
      <c r="E358" s="9">
        <v>1372</v>
      </c>
      <c r="F358" s="7">
        <v>260</v>
      </c>
      <c r="G358" s="7">
        <v>300</v>
      </c>
      <c r="H358" s="7">
        <v>411600</v>
      </c>
      <c r="I358" s="5">
        <v>28812</v>
      </c>
      <c r="J358" s="5">
        <v>382788</v>
      </c>
      <c r="K358" s="7">
        <v>343000</v>
      </c>
      <c r="L358" s="5">
        <v>39788</v>
      </c>
      <c r="M358" s="1">
        <v>41974</v>
      </c>
      <c r="N358">
        <v>12</v>
      </c>
      <c r="O358" t="s">
        <v>29</v>
      </c>
      <c r="P358" t="s">
        <v>12</v>
      </c>
      <c r="Q358" s="5">
        <f>tbl_financials[[#This Row],[Net_Sales]]</f>
        <v>382788</v>
      </c>
      <c r="R358" s="5">
        <f>ROUND(tbl_financials[[#This Row],[Revenue]]*(0.12+MOD(ROW(),7)/100),2)</f>
        <v>49762.44</v>
      </c>
      <c r="S358" s="7">
        <f t="shared" si="5"/>
        <v>3098</v>
      </c>
      <c r="T358" s="5">
        <f>tbl_financials[[#This Row],[Gross_Profit]]-tbl_financials[[#This Row],[Operating_Expenses]]+tbl_financials[[#This Row],[Other_Income]]</f>
        <v>-6876.4400000000023</v>
      </c>
      <c r="U358" s="11">
        <f>IF(tbl_financials[[#This Row],[Revenue]]=0,0,tbl_financials[[#This Row],[Net_Profit]]/tbl_financials[[#This Row],[Revenue]])</f>
        <v>-1.7964095008202979E-2</v>
      </c>
      <c r="V358" s="11" t="str">
        <f>tbl_financials[[#This Row],[Month_Name]] &amp; "_" &amp; tbl_financials[[#This Row],[Year]]</f>
        <v>December_2014</v>
      </c>
      <c r="W358" s="11" t="str">
        <f>tbl_financials[[#This Row],[Month_Name]] &amp; "_" &amp; (tbl_financials[[#This Row],[Year]]-1)</f>
        <v>December_2013</v>
      </c>
      <c r="X35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10.858364312267659</v>
      </c>
    </row>
    <row r="359" spans="1:24" x14ac:dyDescent="0.3">
      <c r="A359" t="s">
        <v>7</v>
      </c>
      <c r="B359" t="s">
        <v>13</v>
      </c>
      <c r="C359" t="s">
        <v>33</v>
      </c>
      <c r="D359" t="s">
        <v>40</v>
      </c>
      <c r="E359" s="9">
        <v>488</v>
      </c>
      <c r="F359" s="7">
        <v>5</v>
      </c>
      <c r="G359" s="7">
        <v>7</v>
      </c>
      <c r="H359" s="7">
        <v>3416</v>
      </c>
      <c r="I359" s="5">
        <v>273.27999999999997</v>
      </c>
      <c r="J359" s="5">
        <v>3142.72</v>
      </c>
      <c r="K359" s="7">
        <v>2440</v>
      </c>
      <c r="L359" s="5">
        <v>702.72</v>
      </c>
      <c r="M359" s="1">
        <v>41671</v>
      </c>
      <c r="N359">
        <v>2</v>
      </c>
      <c r="O359" t="s">
        <v>19</v>
      </c>
      <c r="P359" t="s">
        <v>12</v>
      </c>
      <c r="Q359" s="5">
        <f>tbl_financials[[#This Row],[Net_Sales]]</f>
        <v>3142.72</v>
      </c>
      <c r="R359" s="5">
        <f>ROUND(tbl_financials[[#This Row],[Revenue]]*(0.12+MOD(ROW(),7)/100),2)</f>
        <v>439.98</v>
      </c>
      <c r="S359" s="7">
        <f t="shared" si="5"/>
        <v>3129</v>
      </c>
      <c r="T359" s="5">
        <f>tbl_financials[[#This Row],[Gross_Profit]]-tbl_financials[[#This Row],[Operating_Expenses]]+tbl_financials[[#This Row],[Other_Income]]</f>
        <v>3391.74</v>
      </c>
      <c r="U359" s="11">
        <f>IF(tbl_financials[[#This Row],[Revenue]]=0,0,tbl_financials[[#This Row],[Net_Profit]]/tbl_financials[[#This Row],[Revenue]])</f>
        <v>1.0792370939822828</v>
      </c>
      <c r="V359" s="11" t="str">
        <f>tbl_financials[[#This Row],[Month_Name]] &amp; "_" &amp; tbl_financials[[#This Row],[Year]]</f>
        <v>February_2014</v>
      </c>
      <c r="W359" s="11" t="str">
        <f>tbl_financials[[#This Row],[Month_Name]] &amp; "_" &amp; (tbl_financials[[#This Row],[Year]]-1)</f>
        <v>February_2013</v>
      </c>
      <c r="X35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60" spans="1:24" x14ac:dyDescent="0.3">
      <c r="A360" t="s">
        <v>7</v>
      </c>
      <c r="B360" t="s">
        <v>14</v>
      </c>
      <c r="C360" t="s">
        <v>33</v>
      </c>
      <c r="D360" t="s">
        <v>40</v>
      </c>
      <c r="E360" s="9">
        <v>1282</v>
      </c>
      <c r="F360" s="7">
        <v>5</v>
      </c>
      <c r="G360" s="7">
        <v>20</v>
      </c>
      <c r="H360" s="7">
        <v>25640</v>
      </c>
      <c r="I360" s="5">
        <v>2051.1999999999998</v>
      </c>
      <c r="J360" s="5">
        <v>23588.799999999999</v>
      </c>
      <c r="K360" s="7">
        <v>12820</v>
      </c>
      <c r="L360" s="5">
        <v>10768.8</v>
      </c>
      <c r="M360" s="1">
        <v>41791</v>
      </c>
      <c r="N360">
        <v>6</v>
      </c>
      <c r="O360" t="s">
        <v>23</v>
      </c>
      <c r="P360" t="s">
        <v>12</v>
      </c>
      <c r="Q360" s="5">
        <f>tbl_financials[[#This Row],[Net_Sales]]</f>
        <v>23588.799999999999</v>
      </c>
      <c r="R360" s="5">
        <f>ROUND(tbl_financials[[#This Row],[Revenue]]*(0.12+MOD(ROW(),7)/100),2)</f>
        <v>3538.32</v>
      </c>
      <c r="S360" s="7">
        <f t="shared" si="5"/>
        <v>3160</v>
      </c>
      <c r="T360" s="5">
        <f>tbl_financials[[#This Row],[Gross_Profit]]-tbl_financials[[#This Row],[Operating_Expenses]]+tbl_financials[[#This Row],[Other_Income]]</f>
        <v>10390.48</v>
      </c>
      <c r="U360" s="11">
        <f>IF(tbl_financials[[#This Row],[Revenue]]=0,0,tbl_financials[[#This Row],[Net_Profit]]/tbl_financials[[#This Row],[Revenue]])</f>
        <v>0.44048361934477381</v>
      </c>
      <c r="V360" s="11" t="str">
        <f>tbl_financials[[#This Row],[Month_Name]] &amp; "_" &amp; tbl_financials[[#This Row],[Year]]</f>
        <v>June_2014</v>
      </c>
      <c r="W360" s="11" t="str">
        <f>tbl_financials[[#This Row],[Month_Name]] &amp; "_" &amp; (tbl_financials[[#This Row],[Year]]-1)</f>
        <v>June_2013</v>
      </c>
      <c r="X36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61" spans="1:24" x14ac:dyDescent="0.3">
      <c r="A361" t="s">
        <v>7</v>
      </c>
      <c r="B361" t="s">
        <v>13</v>
      </c>
      <c r="C361" t="s">
        <v>34</v>
      </c>
      <c r="D361" t="s">
        <v>40</v>
      </c>
      <c r="E361" s="9">
        <v>257</v>
      </c>
      <c r="F361" s="7">
        <v>10</v>
      </c>
      <c r="G361" s="7">
        <v>7</v>
      </c>
      <c r="H361" s="7">
        <v>1799</v>
      </c>
      <c r="I361" s="5">
        <v>143.91999999999999</v>
      </c>
      <c r="J361" s="5">
        <v>1655.08</v>
      </c>
      <c r="K361" s="7">
        <v>1285</v>
      </c>
      <c r="L361" s="5">
        <v>370.07999999999902</v>
      </c>
      <c r="M361" s="1">
        <v>41760</v>
      </c>
      <c r="N361">
        <v>5</v>
      </c>
      <c r="O361" t="s">
        <v>22</v>
      </c>
      <c r="P361" t="s">
        <v>12</v>
      </c>
      <c r="Q361" s="5">
        <f>tbl_financials[[#This Row],[Net_Sales]]</f>
        <v>1655.08</v>
      </c>
      <c r="R361" s="5">
        <f>ROUND(tbl_financials[[#This Row],[Revenue]]*(0.12+MOD(ROW(),7)/100),2)</f>
        <v>264.81</v>
      </c>
      <c r="S361" s="7">
        <f t="shared" si="5"/>
        <v>3191</v>
      </c>
      <c r="T361" s="5">
        <f>tbl_financials[[#This Row],[Gross_Profit]]-tbl_financials[[#This Row],[Operating_Expenses]]+tbl_financials[[#This Row],[Other_Income]]</f>
        <v>3296.2699999999991</v>
      </c>
      <c r="U361" s="11">
        <f>IF(tbl_financials[[#This Row],[Revenue]]=0,0,tbl_financials[[#This Row],[Net_Profit]]/tbl_financials[[#This Row],[Revenue]])</f>
        <v>1.9916076564274834</v>
      </c>
      <c r="V361" s="11" t="str">
        <f>tbl_financials[[#This Row],[Month_Name]] &amp; "_" &amp; tbl_financials[[#This Row],[Year]]</f>
        <v>May_2014</v>
      </c>
      <c r="W361" s="11" t="str">
        <f>tbl_financials[[#This Row],[Month_Name]] &amp; "_" &amp; (tbl_financials[[#This Row],[Year]]-1)</f>
        <v>May_2013</v>
      </c>
      <c r="X36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62" spans="1:24" x14ac:dyDescent="0.3">
      <c r="A362" t="s">
        <v>7</v>
      </c>
      <c r="B362" t="s">
        <v>14</v>
      </c>
      <c r="C362" t="s">
        <v>37</v>
      </c>
      <c r="D362" t="s">
        <v>40</v>
      </c>
      <c r="E362" s="9">
        <v>1282</v>
      </c>
      <c r="F362" s="7">
        <v>260</v>
      </c>
      <c r="G362" s="7">
        <v>20</v>
      </c>
      <c r="H362" s="7">
        <v>25640</v>
      </c>
      <c r="I362" s="5">
        <v>2051.1999999999998</v>
      </c>
      <c r="J362" s="5">
        <v>23588.799999999999</v>
      </c>
      <c r="K362" s="7">
        <v>12820</v>
      </c>
      <c r="L362" s="5">
        <v>10768.8</v>
      </c>
      <c r="M362" s="1">
        <v>41791</v>
      </c>
      <c r="N362">
        <v>6</v>
      </c>
      <c r="O362" t="s">
        <v>23</v>
      </c>
      <c r="P362" t="s">
        <v>12</v>
      </c>
      <c r="Q362" s="5">
        <f>tbl_financials[[#This Row],[Net_Sales]]</f>
        <v>23588.799999999999</v>
      </c>
      <c r="R362" s="5">
        <f>ROUND(tbl_financials[[#This Row],[Revenue]]*(0.12+MOD(ROW(),7)/100),2)</f>
        <v>4010.1</v>
      </c>
      <c r="S362" s="7">
        <f t="shared" si="5"/>
        <v>3222</v>
      </c>
      <c r="T362" s="5">
        <f>tbl_financials[[#This Row],[Gross_Profit]]-tbl_financials[[#This Row],[Operating_Expenses]]+tbl_financials[[#This Row],[Other_Income]]</f>
        <v>9980.6999999999989</v>
      </c>
      <c r="U362" s="11">
        <f>IF(tbl_financials[[#This Row],[Revenue]]=0,0,tbl_financials[[#This Row],[Net_Profit]]/tbl_financials[[#This Row],[Revenue]])</f>
        <v>0.42311181577697887</v>
      </c>
      <c r="V362" s="11" t="str">
        <f>tbl_financials[[#This Row],[Month_Name]] &amp; "_" &amp; tbl_financials[[#This Row],[Year]]</f>
        <v>June_2014</v>
      </c>
      <c r="W362" s="11" t="str">
        <f>tbl_financials[[#This Row],[Month_Name]] &amp; "_" &amp; (tbl_financials[[#This Row],[Year]]-1)</f>
        <v>June_2013</v>
      </c>
      <c r="X36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63" spans="1:24" x14ac:dyDescent="0.3">
      <c r="A363" t="s">
        <v>6</v>
      </c>
      <c r="B363" t="s">
        <v>17</v>
      </c>
      <c r="C363" t="s">
        <v>32</v>
      </c>
      <c r="D363" t="s">
        <v>40</v>
      </c>
      <c r="E363" s="9">
        <v>1540</v>
      </c>
      <c r="F363" s="7">
        <v>3</v>
      </c>
      <c r="G363" s="7">
        <v>125</v>
      </c>
      <c r="H363" s="7">
        <v>192500</v>
      </c>
      <c r="I363" s="5">
        <v>15400</v>
      </c>
      <c r="J363" s="5">
        <v>177100</v>
      </c>
      <c r="K363" s="7">
        <v>184800</v>
      </c>
      <c r="L363" s="5">
        <v>-7700</v>
      </c>
      <c r="M363" s="1">
        <v>41852</v>
      </c>
      <c r="N363">
        <v>8</v>
      </c>
      <c r="O363" t="s">
        <v>25</v>
      </c>
      <c r="P363" t="s">
        <v>12</v>
      </c>
      <c r="Q363" s="5">
        <f>tbl_financials[[#This Row],[Net_Sales]]</f>
        <v>177100</v>
      </c>
      <c r="R363" s="5">
        <f>ROUND(tbl_financials[[#This Row],[Revenue]]*(0.12+MOD(ROW(),7)/100),2)</f>
        <v>31878</v>
      </c>
      <c r="S363" s="7">
        <f t="shared" si="5"/>
        <v>3253</v>
      </c>
      <c r="T363" s="5">
        <f>tbl_financials[[#This Row],[Gross_Profit]]-tbl_financials[[#This Row],[Operating_Expenses]]+tbl_financials[[#This Row],[Other_Income]]</f>
        <v>-36325</v>
      </c>
      <c r="U363" s="11">
        <f>IF(tbl_financials[[#This Row],[Revenue]]=0,0,tbl_financials[[#This Row],[Net_Profit]]/tbl_financials[[#This Row],[Revenue]])</f>
        <v>-0.20511010728402032</v>
      </c>
      <c r="V363" s="11" t="str">
        <f>tbl_financials[[#This Row],[Month_Name]] &amp; "_" &amp; tbl_financials[[#This Row],[Year]]</f>
        <v>August_2014</v>
      </c>
      <c r="W363" s="11" t="str">
        <f>tbl_financials[[#This Row],[Month_Name]] &amp; "_" &amp; (tbl_financials[[#This Row],[Year]]-1)</f>
        <v>August_2013</v>
      </c>
      <c r="X36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64" spans="1:24" x14ac:dyDescent="0.3">
      <c r="A364" t="s">
        <v>5</v>
      </c>
      <c r="B364" t="s">
        <v>15</v>
      </c>
      <c r="C364" t="s">
        <v>32</v>
      </c>
      <c r="D364" t="s">
        <v>40</v>
      </c>
      <c r="E364" s="9">
        <v>490</v>
      </c>
      <c r="F364" s="7">
        <v>3</v>
      </c>
      <c r="G364" s="7">
        <v>15</v>
      </c>
      <c r="H364" s="7">
        <v>7350</v>
      </c>
      <c r="I364" s="5">
        <v>588</v>
      </c>
      <c r="J364" s="5">
        <v>6762</v>
      </c>
      <c r="K364" s="7">
        <v>4900</v>
      </c>
      <c r="L364" s="5">
        <v>1862</v>
      </c>
      <c r="M364" s="1">
        <v>41944</v>
      </c>
      <c r="N364">
        <v>11</v>
      </c>
      <c r="O364" t="s">
        <v>28</v>
      </c>
      <c r="P364" t="s">
        <v>12</v>
      </c>
      <c r="Q364" s="5">
        <f>tbl_financials[[#This Row],[Net_Sales]]</f>
        <v>6762</v>
      </c>
      <c r="R364" s="5">
        <f>ROUND(tbl_financials[[#This Row],[Revenue]]*(0.12+MOD(ROW(),7)/100),2)</f>
        <v>811.44</v>
      </c>
      <c r="S364" s="7">
        <f t="shared" si="5"/>
        <v>3284</v>
      </c>
      <c r="T364" s="5">
        <f>tbl_financials[[#This Row],[Gross_Profit]]-tbl_financials[[#This Row],[Operating_Expenses]]+tbl_financials[[#This Row],[Other_Income]]</f>
        <v>4334.5599999999995</v>
      </c>
      <c r="U364" s="11">
        <f>IF(tbl_financials[[#This Row],[Revenue]]=0,0,tbl_financials[[#This Row],[Net_Profit]]/tbl_financials[[#This Row],[Revenue]])</f>
        <v>0.64101745045844416</v>
      </c>
      <c r="V364" s="11" t="str">
        <f>tbl_financials[[#This Row],[Month_Name]] &amp; "_" &amp; tbl_financials[[#This Row],[Year]]</f>
        <v>November_2014</v>
      </c>
      <c r="W364" s="11" t="str">
        <f>tbl_financials[[#This Row],[Month_Name]] &amp; "_" &amp; (tbl_financials[[#This Row],[Year]]-1)</f>
        <v>November_2013</v>
      </c>
      <c r="X36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-0.98880000000000001</v>
      </c>
    </row>
    <row r="365" spans="1:24" x14ac:dyDescent="0.3">
      <c r="A365" t="s">
        <v>7</v>
      </c>
      <c r="B365" t="s">
        <v>17</v>
      </c>
      <c r="C365" t="s">
        <v>32</v>
      </c>
      <c r="D365" t="s">
        <v>40</v>
      </c>
      <c r="E365" s="9">
        <v>1362</v>
      </c>
      <c r="F365" s="7">
        <v>3</v>
      </c>
      <c r="G365" s="7">
        <v>350</v>
      </c>
      <c r="H365" s="7">
        <v>476700</v>
      </c>
      <c r="I365" s="5">
        <v>38136</v>
      </c>
      <c r="J365" s="5">
        <v>438564</v>
      </c>
      <c r="K365" s="7">
        <v>354120</v>
      </c>
      <c r="L365" s="5">
        <v>84444</v>
      </c>
      <c r="M365" s="1">
        <v>41974</v>
      </c>
      <c r="N365">
        <v>12</v>
      </c>
      <c r="O365" t="s">
        <v>29</v>
      </c>
      <c r="P365" t="s">
        <v>12</v>
      </c>
      <c r="Q365" s="5">
        <f>tbl_financials[[#This Row],[Net_Sales]]</f>
        <v>438564</v>
      </c>
      <c r="R365" s="5">
        <f>ROUND(tbl_financials[[#This Row],[Revenue]]*(0.12+MOD(ROW(),7)/100),2)</f>
        <v>57013.32</v>
      </c>
      <c r="S365" s="7">
        <f t="shared" si="5"/>
        <v>3315</v>
      </c>
      <c r="T365" s="5">
        <f>tbl_financials[[#This Row],[Gross_Profit]]-tbl_financials[[#This Row],[Operating_Expenses]]+tbl_financials[[#This Row],[Other_Income]]</f>
        <v>30745.68</v>
      </c>
      <c r="U365" s="11">
        <f>IF(tbl_financials[[#This Row],[Revenue]]=0,0,tbl_financials[[#This Row],[Net_Profit]]/tbl_financials[[#This Row],[Revenue]])</f>
        <v>7.0105343803868986E-2</v>
      </c>
      <c r="V365" s="11" t="str">
        <f>tbl_financials[[#This Row],[Month_Name]] &amp; "_" &amp; tbl_financials[[#This Row],[Year]]</f>
        <v>December_2014</v>
      </c>
      <c r="W365" s="11" t="str">
        <f>tbl_financials[[#This Row],[Month_Name]] &amp; "_" &amp; (tbl_financials[[#This Row],[Year]]-1)</f>
        <v>December_2013</v>
      </c>
      <c r="X36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12.586245353159851</v>
      </c>
    </row>
    <row r="366" spans="1:24" x14ac:dyDescent="0.3">
      <c r="A366" t="s">
        <v>5</v>
      </c>
      <c r="B366" t="s">
        <v>15</v>
      </c>
      <c r="C366" t="s">
        <v>33</v>
      </c>
      <c r="D366" t="s">
        <v>40</v>
      </c>
      <c r="E366" s="9">
        <v>2501</v>
      </c>
      <c r="F366" s="7">
        <v>5</v>
      </c>
      <c r="G366" s="7">
        <v>15</v>
      </c>
      <c r="H366" s="7">
        <v>37515</v>
      </c>
      <c r="I366" s="5">
        <v>3001.2</v>
      </c>
      <c r="J366" s="5">
        <v>34513.800000000003</v>
      </c>
      <c r="K366" s="7">
        <v>25010</v>
      </c>
      <c r="L366" s="5">
        <v>9503.7999999999993</v>
      </c>
      <c r="M366" s="1">
        <v>41699</v>
      </c>
      <c r="N366">
        <v>3</v>
      </c>
      <c r="O366" t="s">
        <v>20</v>
      </c>
      <c r="P366" t="s">
        <v>12</v>
      </c>
      <c r="Q366" s="5">
        <f>tbl_financials[[#This Row],[Net_Sales]]</f>
        <v>34513.800000000003</v>
      </c>
      <c r="R366" s="5">
        <f>ROUND(tbl_financials[[#This Row],[Revenue]]*(0.12+MOD(ROW(),7)/100),2)</f>
        <v>4831.93</v>
      </c>
      <c r="S366" s="7">
        <f t="shared" si="5"/>
        <v>3346</v>
      </c>
      <c r="T366" s="5">
        <f>tbl_financials[[#This Row],[Gross_Profit]]-tbl_financials[[#This Row],[Operating_Expenses]]+tbl_financials[[#This Row],[Other_Income]]</f>
        <v>8017.869999999999</v>
      </c>
      <c r="U366" s="11">
        <f>IF(tbl_financials[[#This Row],[Revenue]]=0,0,tbl_financials[[#This Row],[Net_Profit]]/tbl_financials[[#This Row],[Revenue]])</f>
        <v>0.23230910534336985</v>
      </c>
      <c r="V366" s="11" t="str">
        <f>tbl_financials[[#This Row],[Month_Name]] &amp; "_" &amp; tbl_financials[[#This Row],[Year]]</f>
        <v>March_2014</v>
      </c>
      <c r="W366" s="11" t="str">
        <f>tbl_financials[[#This Row],[Month_Name]] &amp; "_" &amp; (tbl_financials[[#This Row],[Year]]-1)</f>
        <v>March_2013</v>
      </c>
      <c r="X36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67" spans="1:24" x14ac:dyDescent="0.3">
      <c r="A367" t="s">
        <v>7</v>
      </c>
      <c r="B367" t="s">
        <v>13</v>
      </c>
      <c r="C367" t="s">
        <v>33</v>
      </c>
      <c r="D367" t="s">
        <v>40</v>
      </c>
      <c r="E367" s="9">
        <v>708</v>
      </c>
      <c r="F367" s="7">
        <v>5</v>
      </c>
      <c r="G367" s="7">
        <v>20</v>
      </c>
      <c r="H367" s="7">
        <v>14160</v>
      </c>
      <c r="I367" s="5">
        <v>1132.8</v>
      </c>
      <c r="J367" s="5">
        <v>13027.2</v>
      </c>
      <c r="K367" s="7">
        <v>7080</v>
      </c>
      <c r="L367" s="5">
        <v>5947.2</v>
      </c>
      <c r="M367" s="1">
        <v>41791</v>
      </c>
      <c r="N367">
        <v>6</v>
      </c>
      <c r="O367" t="s">
        <v>23</v>
      </c>
      <c r="P367" t="s">
        <v>12</v>
      </c>
      <c r="Q367" s="5">
        <f>tbl_financials[[#This Row],[Net_Sales]]</f>
        <v>13027.2</v>
      </c>
      <c r="R367" s="5">
        <f>ROUND(tbl_financials[[#This Row],[Revenue]]*(0.12+MOD(ROW(),7)/100),2)</f>
        <v>1954.08</v>
      </c>
      <c r="S367" s="7">
        <f t="shared" si="5"/>
        <v>3377</v>
      </c>
      <c r="T367" s="5">
        <f>tbl_financials[[#This Row],[Gross_Profit]]-tbl_financials[[#This Row],[Operating_Expenses]]+tbl_financials[[#This Row],[Other_Income]]</f>
        <v>7370.12</v>
      </c>
      <c r="U367" s="11">
        <f>IF(tbl_financials[[#This Row],[Revenue]]=0,0,tbl_financials[[#This Row],[Net_Profit]]/tbl_financials[[#This Row],[Revenue]])</f>
        <v>0.56574858757062141</v>
      </c>
      <c r="V367" s="11" t="str">
        <f>tbl_financials[[#This Row],[Month_Name]] &amp; "_" &amp; tbl_financials[[#This Row],[Year]]</f>
        <v>June_2014</v>
      </c>
      <c r="W367" s="11" t="str">
        <f>tbl_financials[[#This Row],[Month_Name]] &amp; "_" &amp; (tbl_financials[[#This Row],[Year]]-1)</f>
        <v>June_2013</v>
      </c>
      <c r="X36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68" spans="1:24" x14ac:dyDescent="0.3">
      <c r="A368" t="s">
        <v>7</v>
      </c>
      <c r="B368" t="s">
        <v>16</v>
      </c>
      <c r="C368" t="s">
        <v>33</v>
      </c>
      <c r="D368" t="s">
        <v>40</v>
      </c>
      <c r="E368" s="9">
        <v>645</v>
      </c>
      <c r="F368" s="7">
        <v>5</v>
      </c>
      <c r="G368" s="7">
        <v>20</v>
      </c>
      <c r="H368" s="7">
        <v>12900</v>
      </c>
      <c r="I368" s="5">
        <v>1032</v>
      </c>
      <c r="J368" s="5">
        <v>11868</v>
      </c>
      <c r="K368" s="7">
        <v>6450</v>
      </c>
      <c r="L368" s="5">
        <v>5418</v>
      </c>
      <c r="M368" s="1">
        <v>41821</v>
      </c>
      <c r="N368">
        <v>7</v>
      </c>
      <c r="O368" t="s">
        <v>24</v>
      </c>
      <c r="P368" t="s">
        <v>12</v>
      </c>
      <c r="Q368" s="5">
        <f>tbl_financials[[#This Row],[Net_Sales]]</f>
        <v>11868</v>
      </c>
      <c r="R368" s="5">
        <f>ROUND(tbl_financials[[#This Row],[Revenue]]*(0.12+MOD(ROW(),7)/100),2)</f>
        <v>1898.88</v>
      </c>
      <c r="S368" s="7">
        <f t="shared" si="5"/>
        <v>3408</v>
      </c>
      <c r="T368" s="5">
        <f>tbl_financials[[#This Row],[Gross_Profit]]-tbl_financials[[#This Row],[Operating_Expenses]]+tbl_financials[[#This Row],[Other_Income]]</f>
        <v>6927.12</v>
      </c>
      <c r="U368" s="11">
        <f>IF(tbl_financials[[#This Row],[Revenue]]=0,0,tbl_financials[[#This Row],[Net_Profit]]/tbl_financials[[#This Row],[Revenue]])</f>
        <v>0.58368048533872596</v>
      </c>
      <c r="V368" s="11" t="str">
        <f>tbl_financials[[#This Row],[Month_Name]] &amp; "_" &amp; tbl_financials[[#This Row],[Year]]</f>
        <v>July_2014</v>
      </c>
      <c r="W368" s="11" t="str">
        <f>tbl_financials[[#This Row],[Month_Name]] &amp; "_" &amp; (tbl_financials[[#This Row],[Year]]-1)</f>
        <v>July_2013</v>
      </c>
      <c r="X36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69" spans="1:24" x14ac:dyDescent="0.3">
      <c r="A369" t="s">
        <v>4</v>
      </c>
      <c r="B369" t="s">
        <v>15</v>
      </c>
      <c r="C369" t="s">
        <v>33</v>
      </c>
      <c r="D369" t="s">
        <v>40</v>
      </c>
      <c r="E369" s="9">
        <v>1562</v>
      </c>
      <c r="F369" s="7">
        <v>5</v>
      </c>
      <c r="G369" s="7">
        <v>300</v>
      </c>
      <c r="H369" s="7">
        <v>468600</v>
      </c>
      <c r="I369" s="5">
        <v>37488</v>
      </c>
      <c r="J369" s="5">
        <v>431112</v>
      </c>
      <c r="K369" s="7">
        <v>390500</v>
      </c>
      <c r="L369" s="5">
        <v>40612</v>
      </c>
      <c r="M369" s="1">
        <v>41852</v>
      </c>
      <c r="N369">
        <v>8</v>
      </c>
      <c r="O369" t="s">
        <v>25</v>
      </c>
      <c r="P369" t="s">
        <v>12</v>
      </c>
      <c r="Q369" s="5">
        <f>tbl_financials[[#This Row],[Net_Sales]]</f>
        <v>431112</v>
      </c>
      <c r="R369" s="5">
        <f>ROUND(tbl_financials[[#This Row],[Revenue]]*(0.12+MOD(ROW(),7)/100),2)</f>
        <v>73289.039999999994</v>
      </c>
      <c r="S369" s="7">
        <f t="shared" si="5"/>
        <v>3439</v>
      </c>
      <c r="T369" s="5">
        <f>tbl_financials[[#This Row],[Gross_Profit]]-tbl_financials[[#This Row],[Operating_Expenses]]+tbl_financials[[#This Row],[Other_Income]]</f>
        <v>-29238.039999999994</v>
      </c>
      <c r="U369" s="11">
        <f>IF(tbl_financials[[#This Row],[Revenue]]=0,0,tbl_financials[[#This Row],[Net_Profit]]/tbl_financials[[#This Row],[Revenue]])</f>
        <v>-6.7820056041121554E-2</v>
      </c>
      <c r="V369" s="11" t="str">
        <f>tbl_financials[[#This Row],[Month_Name]] &amp; "_" &amp; tbl_financials[[#This Row],[Year]]</f>
        <v>August_2014</v>
      </c>
      <c r="W369" s="11" t="str">
        <f>tbl_financials[[#This Row],[Month_Name]] &amp; "_" &amp; (tbl_financials[[#This Row],[Year]]-1)</f>
        <v>August_2013</v>
      </c>
      <c r="X36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70" spans="1:24" x14ac:dyDescent="0.3">
      <c r="A370" t="s">
        <v>4</v>
      </c>
      <c r="B370" t="s">
        <v>13</v>
      </c>
      <c r="C370" t="s">
        <v>33</v>
      </c>
      <c r="D370" t="s">
        <v>40</v>
      </c>
      <c r="E370" s="9">
        <v>1283</v>
      </c>
      <c r="F370" s="7">
        <v>5</v>
      </c>
      <c r="G370" s="7">
        <v>300</v>
      </c>
      <c r="H370" s="7">
        <v>384900</v>
      </c>
      <c r="I370" s="5">
        <v>30792</v>
      </c>
      <c r="J370" s="5">
        <v>354108</v>
      </c>
      <c r="K370" s="7">
        <v>320750</v>
      </c>
      <c r="L370" s="5">
        <v>33358</v>
      </c>
      <c r="M370" s="1">
        <v>41518</v>
      </c>
      <c r="N370">
        <v>9</v>
      </c>
      <c r="O370" t="s">
        <v>26</v>
      </c>
      <c r="P370" t="s">
        <v>11</v>
      </c>
      <c r="Q370" s="5">
        <f>tbl_financials[[#This Row],[Net_Sales]]</f>
        <v>354108</v>
      </c>
      <c r="R370" s="5">
        <f>ROUND(tbl_financials[[#This Row],[Revenue]]*(0.12+MOD(ROW(),7)/100),2)</f>
        <v>63739.44</v>
      </c>
      <c r="S370" s="7">
        <f t="shared" si="5"/>
        <v>3470</v>
      </c>
      <c r="T370" s="5">
        <f>tbl_financials[[#This Row],[Gross_Profit]]-tbl_financials[[#This Row],[Operating_Expenses]]+tbl_financials[[#This Row],[Other_Income]]</f>
        <v>-26911.440000000002</v>
      </c>
      <c r="U370" s="11">
        <f>IF(tbl_financials[[#This Row],[Revenue]]=0,0,tbl_financials[[#This Row],[Net_Profit]]/tbl_financials[[#This Row],[Revenue]])</f>
        <v>-7.5997831170151492E-2</v>
      </c>
      <c r="V370" s="11" t="str">
        <f>tbl_financials[[#This Row],[Month_Name]] &amp; "_" &amp; tbl_financials[[#This Row],[Year]]</f>
        <v>September_2013</v>
      </c>
      <c r="W370" s="11" t="str">
        <f>tbl_financials[[#This Row],[Month_Name]] &amp; "_" &amp; (tbl_financials[[#This Row],[Year]]-1)</f>
        <v>September_2012</v>
      </c>
      <c r="X37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71" spans="1:24" x14ac:dyDescent="0.3">
      <c r="A371" t="s">
        <v>5</v>
      </c>
      <c r="B371" t="s">
        <v>16</v>
      </c>
      <c r="C371" t="s">
        <v>33</v>
      </c>
      <c r="D371" t="s">
        <v>40</v>
      </c>
      <c r="E371" s="9">
        <v>711</v>
      </c>
      <c r="F371" s="7">
        <v>5</v>
      </c>
      <c r="G371" s="7">
        <v>15</v>
      </c>
      <c r="H371" s="7">
        <v>10665</v>
      </c>
      <c r="I371" s="5">
        <v>853.2</v>
      </c>
      <c r="J371" s="5">
        <v>9811.7999999999993</v>
      </c>
      <c r="K371" s="7">
        <v>7110</v>
      </c>
      <c r="L371" s="5">
        <v>2701.7999999999902</v>
      </c>
      <c r="M371" s="1">
        <v>41974</v>
      </c>
      <c r="N371">
        <v>12</v>
      </c>
      <c r="O371" t="s">
        <v>29</v>
      </c>
      <c r="P371" t="s">
        <v>12</v>
      </c>
      <c r="Q371" s="5">
        <f>tbl_financials[[#This Row],[Net_Sales]]</f>
        <v>9811.7999999999993</v>
      </c>
      <c r="R371" s="5">
        <f>ROUND(tbl_financials[[#This Row],[Revenue]]*(0.12+MOD(ROW(),7)/100),2)</f>
        <v>1177.42</v>
      </c>
      <c r="S371" s="7">
        <f t="shared" si="5"/>
        <v>3501</v>
      </c>
      <c r="T371" s="5">
        <f>tbl_financials[[#This Row],[Gross_Profit]]-tbl_financials[[#This Row],[Operating_Expenses]]+tbl_financials[[#This Row],[Other_Income]]</f>
        <v>5025.3799999999901</v>
      </c>
      <c r="U371" s="11">
        <f>IF(tbl_financials[[#This Row],[Revenue]]=0,0,tbl_financials[[#This Row],[Net_Profit]]/tbl_financials[[#This Row],[Revenue]])</f>
        <v>0.512177174422633</v>
      </c>
      <c r="V371" s="11" t="str">
        <f>tbl_financials[[#This Row],[Month_Name]] &amp; "_" &amp; tbl_financials[[#This Row],[Year]]</f>
        <v>December_2014</v>
      </c>
      <c r="W371" s="11" t="str">
        <f>tbl_financials[[#This Row],[Month_Name]] &amp; "_" &amp; (tbl_financials[[#This Row],[Year]]-1)</f>
        <v>December_2013</v>
      </c>
      <c r="X37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-0.69604089219330856</v>
      </c>
    </row>
    <row r="372" spans="1:24" x14ac:dyDescent="0.3">
      <c r="A372" t="s">
        <v>6</v>
      </c>
      <c r="B372" t="s">
        <v>17</v>
      </c>
      <c r="C372" t="s">
        <v>34</v>
      </c>
      <c r="D372" t="s">
        <v>40</v>
      </c>
      <c r="E372" s="9">
        <v>1114</v>
      </c>
      <c r="F372" s="7">
        <v>10</v>
      </c>
      <c r="G372" s="7">
        <v>125</v>
      </c>
      <c r="H372" s="7">
        <v>139250</v>
      </c>
      <c r="I372" s="5">
        <v>11140</v>
      </c>
      <c r="J372" s="5">
        <v>128110</v>
      </c>
      <c r="K372" s="7">
        <v>133680</v>
      </c>
      <c r="L372" s="5">
        <v>-5570</v>
      </c>
      <c r="M372" s="1">
        <v>41699</v>
      </c>
      <c r="N372">
        <v>3</v>
      </c>
      <c r="O372" t="s">
        <v>20</v>
      </c>
      <c r="P372" t="s">
        <v>12</v>
      </c>
      <c r="Q372" s="5">
        <f>tbl_financials[[#This Row],[Net_Sales]]</f>
        <v>128110</v>
      </c>
      <c r="R372" s="5">
        <f>ROUND(tbl_financials[[#This Row],[Revenue]]*(0.12+MOD(ROW(),7)/100),2)</f>
        <v>16654.3</v>
      </c>
      <c r="S372" s="7">
        <f t="shared" si="5"/>
        <v>3532</v>
      </c>
      <c r="T372" s="5">
        <f>tbl_financials[[#This Row],[Gross_Profit]]-tbl_financials[[#This Row],[Operating_Expenses]]+tbl_financials[[#This Row],[Other_Income]]</f>
        <v>-18692.3</v>
      </c>
      <c r="U372" s="11">
        <f>IF(tbl_financials[[#This Row],[Revenue]]=0,0,tbl_financials[[#This Row],[Net_Profit]]/tbl_financials[[#This Row],[Revenue]])</f>
        <v>-0.14590820388728437</v>
      </c>
      <c r="V372" s="11" t="str">
        <f>tbl_financials[[#This Row],[Month_Name]] &amp; "_" &amp; tbl_financials[[#This Row],[Year]]</f>
        <v>March_2014</v>
      </c>
      <c r="W372" s="11" t="str">
        <f>tbl_financials[[#This Row],[Month_Name]] &amp; "_" &amp; (tbl_financials[[#This Row],[Year]]-1)</f>
        <v>March_2013</v>
      </c>
      <c r="X37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73" spans="1:24" x14ac:dyDescent="0.3">
      <c r="A373" t="s">
        <v>7</v>
      </c>
      <c r="B373" t="s">
        <v>16</v>
      </c>
      <c r="C373" t="s">
        <v>34</v>
      </c>
      <c r="D373" t="s">
        <v>40</v>
      </c>
      <c r="E373" s="9">
        <v>1259</v>
      </c>
      <c r="F373" s="7">
        <v>10</v>
      </c>
      <c r="G373" s="7">
        <v>7</v>
      </c>
      <c r="H373" s="7">
        <v>8813</v>
      </c>
      <c r="I373" s="5">
        <v>705.04</v>
      </c>
      <c r="J373" s="5">
        <v>8107.96</v>
      </c>
      <c r="K373" s="7">
        <v>6295</v>
      </c>
      <c r="L373" s="5">
        <v>1812.96</v>
      </c>
      <c r="M373" s="1">
        <v>41730</v>
      </c>
      <c r="N373">
        <v>4</v>
      </c>
      <c r="O373" t="s">
        <v>21</v>
      </c>
      <c r="P373" t="s">
        <v>12</v>
      </c>
      <c r="Q373" s="5">
        <f>tbl_financials[[#This Row],[Net_Sales]]</f>
        <v>8107.96</v>
      </c>
      <c r="R373" s="5">
        <f>ROUND(tbl_financials[[#This Row],[Revenue]]*(0.12+MOD(ROW(),7)/100),2)</f>
        <v>1135.1099999999999</v>
      </c>
      <c r="S373" s="7">
        <f t="shared" si="5"/>
        <v>3563</v>
      </c>
      <c r="T373" s="5">
        <f>tbl_financials[[#This Row],[Gross_Profit]]-tbl_financials[[#This Row],[Operating_Expenses]]+tbl_financials[[#This Row],[Other_Income]]</f>
        <v>4240.8500000000004</v>
      </c>
      <c r="U373" s="11">
        <f>IF(tbl_financials[[#This Row],[Revenue]]=0,0,tbl_financials[[#This Row],[Net_Profit]]/tbl_financials[[#This Row],[Revenue]])</f>
        <v>0.52304772100503705</v>
      </c>
      <c r="V373" s="11" t="str">
        <f>tbl_financials[[#This Row],[Month_Name]] &amp; "_" &amp; tbl_financials[[#This Row],[Year]]</f>
        <v>April_2014</v>
      </c>
      <c r="W373" s="11" t="str">
        <f>tbl_financials[[#This Row],[Month_Name]] &amp; "_" &amp; (tbl_financials[[#This Row],[Year]]-1)</f>
        <v>April_2013</v>
      </c>
      <c r="X37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74" spans="1:24" x14ac:dyDescent="0.3">
      <c r="A374" t="s">
        <v>7</v>
      </c>
      <c r="B374" t="s">
        <v>16</v>
      </c>
      <c r="C374" t="s">
        <v>34</v>
      </c>
      <c r="D374" t="s">
        <v>40</v>
      </c>
      <c r="E374" s="9">
        <v>1095</v>
      </c>
      <c r="F374" s="7">
        <v>10</v>
      </c>
      <c r="G374" s="7">
        <v>7</v>
      </c>
      <c r="H374" s="7">
        <v>7665</v>
      </c>
      <c r="I374" s="5">
        <v>613.20000000000005</v>
      </c>
      <c r="J374" s="5">
        <v>7051.8</v>
      </c>
      <c r="K374" s="7">
        <v>5475</v>
      </c>
      <c r="L374" s="5">
        <v>1576.8</v>
      </c>
      <c r="M374" s="1">
        <v>41760</v>
      </c>
      <c r="N374">
        <v>5</v>
      </c>
      <c r="O374" t="s">
        <v>22</v>
      </c>
      <c r="P374" t="s">
        <v>12</v>
      </c>
      <c r="Q374" s="5">
        <f>tbl_financials[[#This Row],[Net_Sales]]</f>
        <v>7051.8</v>
      </c>
      <c r="R374" s="5">
        <f>ROUND(tbl_financials[[#This Row],[Revenue]]*(0.12+MOD(ROW(),7)/100),2)</f>
        <v>1057.77</v>
      </c>
      <c r="S374" s="7">
        <f t="shared" si="5"/>
        <v>3594</v>
      </c>
      <c r="T374" s="5">
        <f>tbl_financials[[#This Row],[Gross_Profit]]-tbl_financials[[#This Row],[Operating_Expenses]]+tbl_financials[[#This Row],[Other_Income]]</f>
        <v>4113.03</v>
      </c>
      <c r="U374" s="11">
        <f>IF(tbl_financials[[#This Row],[Revenue]]=0,0,tbl_financials[[#This Row],[Net_Profit]]/tbl_financials[[#This Row],[Revenue]])</f>
        <v>0.58325959329532884</v>
      </c>
      <c r="V374" s="11" t="str">
        <f>tbl_financials[[#This Row],[Month_Name]] &amp; "_" &amp; tbl_financials[[#This Row],[Year]]</f>
        <v>May_2014</v>
      </c>
      <c r="W374" s="11" t="str">
        <f>tbl_financials[[#This Row],[Month_Name]] &amp; "_" &amp; (tbl_financials[[#This Row],[Year]]-1)</f>
        <v>May_2013</v>
      </c>
      <c r="X37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75" spans="1:24" x14ac:dyDescent="0.3">
      <c r="A375" t="s">
        <v>7</v>
      </c>
      <c r="B375" t="s">
        <v>16</v>
      </c>
      <c r="C375" t="s">
        <v>34</v>
      </c>
      <c r="D375" t="s">
        <v>40</v>
      </c>
      <c r="E375" s="9">
        <v>1366</v>
      </c>
      <c r="F375" s="7">
        <v>10</v>
      </c>
      <c r="G375" s="7">
        <v>20</v>
      </c>
      <c r="H375" s="7">
        <v>27320</v>
      </c>
      <c r="I375" s="5">
        <v>2185.6</v>
      </c>
      <c r="J375" s="5">
        <v>25134.400000000001</v>
      </c>
      <c r="K375" s="7">
        <v>13660</v>
      </c>
      <c r="L375" s="5">
        <v>11474.4</v>
      </c>
      <c r="M375" s="1">
        <v>41791</v>
      </c>
      <c r="N375">
        <v>6</v>
      </c>
      <c r="O375" t="s">
        <v>23</v>
      </c>
      <c r="P375" t="s">
        <v>12</v>
      </c>
      <c r="Q375" s="5">
        <f>tbl_financials[[#This Row],[Net_Sales]]</f>
        <v>25134.400000000001</v>
      </c>
      <c r="R375" s="5">
        <f>ROUND(tbl_financials[[#This Row],[Revenue]]*(0.12+MOD(ROW(),7)/100),2)</f>
        <v>4021.5</v>
      </c>
      <c r="S375" s="7">
        <f t="shared" si="5"/>
        <v>3625</v>
      </c>
      <c r="T375" s="5">
        <f>tbl_financials[[#This Row],[Gross_Profit]]-tbl_financials[[#This Row],[Operating_Expenses]]+tbl_financials[[#This Row],[Other_Income]]</f>
        <v>11077.9</v>
      </c>
      <c r="U375" s="11">
        <f>IF(tbl_financials[[#This Row],[Revenue]]=0,0,tbl_financials[[#This Row],[Net_Profit]]/tbl_financials[[#This Row],[Revenue]])</f>
        <v>0.44074654656566298</v>
      </c>
      <c r="V375" s="11" t="str">
        <f>tbl_financials[[#This Row],[Month_Name]] &amp; "_" &amp; tbl_financials[[#This Row],[Year]]</f>
        <v>June_2014</v>
      </c>
      <c r="W375" s="11" t="str">
        <f>tbl_financials[[#This Row],[Month_Name]] &amp; "_" &amp; (tbl_financials[[#This Row],[Year]]-1)</f>
        <v>June_2013</v>
      </c>
      <c r="X37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76" spans="1:24" x14ac:dyDescent="0.3">
      <c r="A376" t="s">
        <v>4</v>
      </c>
      <c r="B376" t="s">
        <v>17</v>
      </c>
      <c r="C376" t="s">
        <v>34</v>
      </c>
      <c r="D376" t="s">
        <v>40</v>
      </c>
      <c r="E376" s="9">
        <v>2460</v>
      </c>
      <c r="F376" s="7">
        <v>10</v>
      </c>
      <c r="G376" s="7">
        <v>300</v>
      </c>
      <c r="H376" s="7">
        <v>738000</v>
      </c>
      <c r="I376" s="5">
        <v>59040</v>
      </c>
      <c r="J376" s="5">
        <v>678960</v>
      </c>
      <c r="K376" s="7">
        <v>615000</v>
      </c>
      <c r="L376" s="5">
        <v>63960</v>
      </c>
      <c r="M376" s="1">
        <v>41791</v>
      </c>
      <c r="N376">
        <v>6</v>
      </c>
      <c r="O376" t="s">
        <v>23</v>
      </c>
      <c r="P376" t="s">
        <v>12</v>
      </c>
      <c r="Q376" s="5">
        <f>tbl_financials[[#This Row],[Net_Sales]]</f>
        <v>678960</v>
      </c>
      <c r="R376" s="5">
        <f>ROUND(tbl_financials[[#This Row],[Revenue]]*(0.12+MOD(ROW(),7)/100),2)</f>
        <v>115423.2</v>
      </c>
      <c r="S376" s="7">
        <f t="shared" si="5"/>
        <v>3656</v>
      </c>
      <c r="T376" s="5">
        <f>tbl_financials[[#This Row],[Gross_Profit]]-tbl_financials[[#This Row],[Operating_Expenses]]+tbl_financials[[#This Row],[Other_Income]]</f>
        <v>-47807.199999999997</v>
      </c>
      <c r="U376" s="11">
        <f>IF(tbl_financials[[#This Row],[Revenue]]=0,0,tbl_financials[[#This Row],[Net_Profit]]/tbl_financials[[#This Row],[Revenue]])</f>
        <v>-7.0412395428302105E-2</v>
      </c>
      <c r="V376" s="11" t="str">
        <f>tbl_financials[[#This Row],[Month_Name]] &amp; "_" &amp; tbl_financials[[#This Row],[Year]]</f>
        <v>June_2014</v>
      </c>
      <c r="W376" s="11" t="str">
        <f>tbl_financials[[#This Row],[Month_Name]] &amp; "_" &amp; (tbl_financials[[#This Row],[Year]]-1)</f>
        <v>June_2013</v>
      </c>
      <c r="X37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77" spans="1:24" x14ac:dyDescent="0.3">
      <c r="A377" t="s">
        <v>7</v>
      </c>
      <c r="B377" t="s">
        <v>14</v>
      </c>
      <c r="C377" t="s">
        <v>34</v>
      </c>
      <c r="D377" t="s">
        <v>40</v>
      </c>
      <c r="E377" s="9">
        <v>678</v>
      </c>
      <c r="F377" s="7">
        <v>10</v>
      </c>
      <c r="G377" s="7">
        <v>7</v>
      </c>
      <c r="H377" s="7">
        <v>4746</v>
      </c>
      <c r="I377" s="5">
        <v>379.68</v>
      </c>
      <c r="J377" s="5">
        <v>4366.32</v>
      </c>
      <c r="K377" s="7">
        <v>3390</v>
      </c>
      <c r="L377" s="5">
        <v>976.31999999999903</v>
      </c>
      <c r="M377" s="1">
        <v>41852</v>
      </c>
      <c r="N377">
        <v>8</v>
      </c>
      <c r="O377" t="s">
        <v>25</v>
      </c>
      <c r="P377" t="s">
        <v>12</v>
      </c>
      <c r="Q377" s="5">
        <f>tbl_financials[[#This Row],[Net_Sales]]</f>
        <v>4366.32</v>
      </c>
      <c r="R377" s="5">
        <f>ROUND(tbl_financials[[#This Row],[Revenue]]*(0.12+MOD(ROW(),7)/100),2)</f>
        <v>785.94</v>
      </c>
      <c r="S377" s="7">
        <f t="shared" si="5"/>
        <v>3687</v>
      </c>
      <c r="T377" s="5">
        <f>tbl_financials[[#This Row],[Gross_Profit]]-tbl_financials[[#This Row],[Operating_Expenses]]+tbl_financials[[#This Row],[Other_Income]]</f>
        <v>3877.3799999999992</v>
      </c>
      <c r="U377" s="11">
        <f>IF(tbl_financials[[#This Row],[Revenue]]=0,0,tbl_financials[[#This Row],[Net_Profit]]/tbl_financials[[#This Row],[Revenue]])</f>
        <v>0.88802011762765887</v>
      </c>
      <c r="V377" s="11" t="str">
        <f>tbl_financials[[#This Row],[Month_Name]] &amp; "_" &amp; tbl_financials[[#This Row],[Year]]</f>
        <v>August_2014</v>
      </c>
      <c r="W377" s="11" t="str">
        <f>tbl_financials[[#This Row],[Month_Name]] &amp; "_" &amp; (tbl_financials[[#This Row],[Year]]-1)</f>
        <v>August_2013</v>
      </c>
      <c r="X37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78" spans="1:24" x14ac:dyDescent="0.3">
      <c r="A378" t="s">
        <v>7</v>
      </c>
      <c r="B378" t="s">
        <v>16</v>
      </c>
      <c r="C378" t="s">
        <v>34</v>
      </c>
      <c r="D378" t="s">
        <v>40</v>
      </c>
      <c r="E378" s="9">
        <v>1598</v>
      </c>
      <c r="F378" s="7">
        <v>10</v>
      </c>
      <c r="G378" s="7">
        <v>7</v>
      </c>
      <c r="H378" s="7">
        <v>11186</v>
      </c>
      <c r="I378" s="5">
        <v>894.88</v>
      </c>
      <c r="J378" s="5">
        <v>10291.120000000001</v>
      </c>
      <c r="K378" s="7">
        <v>7990</v>
      </c>
      <c r="L378" s="5">
        <v>2301.12</v>
      </c>
      <c r="M378" s="1">
        <v>41852</v>
      </c>
      <c r="N378">
        <v>8</v>
      </c>
      <c r="O378" t="s">
        <v>25</v>
      </c>
      <c r="P378" t="s">
        <v>12</v>
      </c>
      <c r="Q378" s="5">
        <f>tbl_financials[[#This Row],[Net_Sales]]</f>
        <v>10291.120000000001</v>
      </c>
      <c r="R378" s="5">
        <f>ROUND(tbl_financials[[#This Row],[Revenue]]*(0.12+MOD(ROW(),7)/100),2)</f>
        <v>1234.93</v>
      </c>
      <c r="S378" s="7">
        <f t="shared" si="5"/>
        <v>3718</v>
      </c>
      <c r="T378" s="5">
        <f>tbl_financials[[#This Row],[Gross_Profit]]-tbl_financials[[#This Row],[Operating_Expenses]]+tbl_financials[[#This Row],[Other_Income]]</f>
        <v>4784.1899999999996</v>
      </c>
      <c r="U378" s="11">
        <f>IF(tbl_financials[[#This Row],[Revenue]]=0,0,tbl_financials[[#This Row],[Net_Profit]]/tbl_financials[[#This Row],[Revenue]])</f>
        <v>0.4648852603020856</v>
      </c>
      <c r="V378" s="11" t="str">
        <f>tbl_financials[[#This Row],[Month_Name]] &amp; "_" &amp; tbl_financials[[#This Row],[Year]]</f>
        <v>August_2014</v>
      </c>
      <c r="W378" s="11" t="str">
        <f>tbl_financials[[#This Row],[Month_Name]] &amp; "_" &amp; (tbl_financials[[#This Row],[Year]]-1)</f>
        <v>August_2013</v>
      </c>
      <c r="X37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79" spans="1:24" x14ac:dyDescent="0.3">
      <c r="A379" t="s">
        <v>7</v>
      </c>
      <c r="B379" t="s">
        <v>16</v>
      </c>
      <c r="C379" t="s">
        <v>34</v>
      </c>
      <c r="D379" t="s">
        <v>40</v>
      </c>
      <c r="E379" s="9">
        <v>2409</v>
      </c>
      <c r="F379" s="7">
        <v>10</v>
      </c>
      <c r="G379" s="7">
        <v>7</v>
      </c>
      <c r="H379" s="7">
        <v>16863</v>
      </c>
      <c r="I379" s="5">
        <v>1349.04</v>
      </c>
      <c r="J379" s="5">
        <v>15513.96</v>
      </c>
      <c r="K379" s="7">
        <v>12045</v>
      </c>
      <c r="L379" s="5">
        <v>3468.95999999999</v>
      </c>
      <c r="M379" s="1">
        <v>41518</v>
      </c>
      <c r="N379">
        <v>9</v>
      </c>
      <c r="O379" t="s">
        <v>26</v>
      </c>
      <c r="P379" t="s">
        <v>11</v>
      </c>
      <c r="Q379" s="5">
        <f>tbl_financials[[#This Row],[Net_Sales]]</f>
        <v>15513.96</v>
      </c>
      <c r="R379" s="5">
        <f>ROUND(tbl_financials[[#This Row],[Revenue]]*(0.12+MOD(ROW(),7)/100),2)</f>
        <v>2016.81</v>
      </c>
      <c r="S379" s="7">
        <f t="shared" si="5"/>
        <v>3749</v>
      </c>
      <c r="T379" s="5">
        <f>tbl_financials[[#This Row],[Gross_Profit]]-tbl_financials[[#This Row],[Operating_Expenses]]+tbl_financials[[#This Row],[Other_Income]]</f>
        <v>5201.1499999999905</v>
      </c>
      <c r="U379" s="11">
        <f>IF(tbl_financials[[#This Row],[Revenue]]=0,0,tbl_financials[[#This Row],[Net_Profit]]/tbl_financials[[#This Row],[Revenue]])</f>
        <v>0.33525611771591463</v>
      </c>
      <c r="V379" s="11" t="str">
        <f>tbl_financials[[#This Row],[Month_Name]] &amp; "_" &amp; tbl_financials[[#This Row],[Year]]</f>
        <v>September_2013</v>
      </c>
      <c r="W379" s="11" t="str">
        <f>tbl_financials[[#This Row],[Month_Name]] &amp; "_" &amp; (tbl_financials[[#This Row],[Year]]-1)</f>
        <v>September_2012</v>
      </c>
      <c r="X37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80" spans="1:24" x14ac:dyDescent="0.3">
      <c r="A380" t="s">
        <v>7</v>
      </c>
      <c r="B380" t="s">
        <v>16</v>
      </c>
      <c r="C380" t="s">
        <v>34</v>
      </c>
      <c r="D380" t="s">
        <v>40</v>
      </c>
      <c r="E380" s="9">
        <v>1934</v>
      </c>
      <c r="F380" s="7">
        <v>10</v>
      </c>
      <c r="G380" s="7">
        <v>20</v>
      </c>
      <c r="H380" s="7">
        <v>38680</v>
      </c>
      <c r="I380" s="5">
        <v>3094.4</v>
      </c>
      <c r="J380" s="5">
        <v>35585.599999999999</v>
      </c>
      <c r="K380" s="7">
        <v>19340</v>
      </c>
      <c r="L380" s="5">
        <v>16245.5999999999</v>
      </c>
      <c r="M380" s="1">
        <v>41883</v>
      </c>
      <c r="N380">
        <v>9</v>
      </c>
      <c r="O380" t="s">
        <v>26</v>
      </c>
      <c r="P380" t="s">
        <v>12</v>
      </c>
      <c r="Q380" s="5">
        <f>tbl_financials[[#This Row],[Net_Sales]]</f>
        <v>35585.599999999999</v>
      </c>
      <c r="R380" s="5">
        <f>ROUND(tbl_financials[[#This Row],[Revenue]]*(0.12+MOD(ROW(),7)/100),2)</f>
        <v>4981.9799999999996</v>
      </c>
      <c r="S380" s="7">
        <f t="shared" si="5"/>
        <v>3780</v>
      </c>
      <c r="T380" s="5">
        <f>tbl_financials[[#This Row],[Gross_Profit]]-tbl_financials[[#This Row],[Operating_Expenses]]+tbl_financials[[#This Row],[Other_Income]]</f>
        <v>15043.619999999901</v>
      </c>
      <c r="U380" s="11">
        <f>IF(tbl_financials[[#This Row],[Revenue]]=0,0,tbl_financials[[#This Row],[Net_Profit]]/tbl_financials[[#This Row],[Revenue]])</f>
        <v>0.42274459331864295</v>
      </c>
      <c r="V380" s="11" t="str">
        <f>tbl_financials[[#This Row],[Month_Name]] &amp; "_" &amp; tbl_financials[[#This Row],[Year]]</f>
        <v>September_2014</v>
      </c>
      <c r="W380" s="11" t="str">
        <f>tbl_financials[[#This Row],[Month_Name]] &amp; "_" &amp; (tbl_financials[[#This Row],[Year]]-1)</f>
        <v>September_2013</v>
      </c>
      <c r="X38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3.3212629022465086</v>
      </c>
    </row>
    <row r="381" spans="1:24" x14ac:dyDescent="0.3">
      <c r="A381" t="s">
        <v>7</v>
      </c>
      <c r="B381" t="s">
        <v>17</v>
      </c>
      <c r="C381" t="s">
        <v>34</v>
      </c>
      <c r="D381" t="s">
        <v>40</v>
      </c>
      <c r="E381" s="9">
        <v>2993</v>
      </c>
      <c r="F381" s="7">
        <v>10</v>
      </c>
      <c r="G381" s="7">
        <v>20</v>
      </c>
      <c r="H381" s="7">
        <v>59860</v>
      </c>
      <c r="I381" s="5">
        <v>4788.8</v>
      </c>
      <c r="J381" s="5">
        <v>55071.199999999997</v>
      </c>
      <c r="K381" s="7">
        <v>29930</v>
      </c>
      <c r="L381" s="5">
        <v>25141.199999999899</v>
      </c>
      <c r="M381" s="1">
        <v>41883</v>
      </c>
      <c r="N381">
        <v>9</v>
      </c>
      <c r="O381" t="s">
        <v>26</v>
      </c>
      <c r="P381" t="s">
        <v>12</v>
      </c>
      <c r="Q381" s="5">
        <f>tbl_financials[[#This Row],[Net_Sales]]</f>
        <v>55071.199999999997</v>
      </c>
      <c r="R381" s="5">
        <f>ROUND(tbl_financials[[#This Row],[Revenue]]*(0.12+MOD(ROW(),7)/100),2)</f>
        <v>8260.68</v>
      </c>
      <c r="S381" s="7">
        <f t="shared" si="5"/>
        <v>3811</v>
      </c>
      <c r="T381" s="5">
        <f>tbl_financials[[#This Row],[Gross_Profit]]-tbl_financials[[#This Row],[Operating_Expenses]]+tbl_financials[[#This Row],[Other_Income]]</f>
        <v>20691.519999999899</v>
      </c>
      <c r="U381" s="11">
        <f>IF(tbl_financials[[#This Row],[Revenue]]=0,0,tbl_financials[[#This Row],[Net_Profit]]/tbl_financials[[#This Row],[Revenue]])</f>
        <v>0.37572306396083432</v>
      </c>
      <c r="V381" s="11" t="str">
        <f>tbl_financials[[#This Row],[Month_Name]] &amp; "_" &amp; tbl_financials[[#This Row],[Year]]</f>
        <v>September_2014</v>
      </c>
      <c r="W381" s="11" t="str">
        <f>tbl_financials[[#This Row],[Month_Name]] &amp; "_" &amp; (tbl_financials[[#This Row],[Year]]-1)</f>
        <v>September_2013</v>
      </c>
      <c r="X38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5.6874559805707348</v>
      </c>
    </row>
    <row r="382" spans="1:24" x14ac:dyDescent="0.3">
      <c r="A382" t="s">
        <v>7</v>
      </c>
      <c r="B382" t="s">
        <v>16</v>
      </c>
      <c r="C382" t="s">
        <v>34</v>
      </c>
      <c r="D382" t="s">
        <v>40</v>
      </c>
      <c r="E382" s="9">
        <v>2146</v>
      </c>
      <c r="F382" s="7">
        <v>10</v>
      </c>
      <c r="G382" s="7">
        <v>350</v>
      </c>
      <c r="H382" s="7">
        <v>751100</v>
      </c>
      <c r="I382" s="5">
        <v>60088</v>
      </c>
      <c r="J382" s="5">
        <v>691012</v>
      </c>
      <c r="K382" s="7">
        <v>557960</v>
      </c>
      <c r="L382" s="5">
        <v>133052</v>
      </c>
      <c r="M382" s="1">
        <v>41579</v>
      </c>
      <c r="N382">
        <v>11</v>
      </c>
      <c r="O382" t="s">
        <v>28</v>
      </c>
      <c r="P382" t="s">
        <v>11</v>
      </c>
      <c r="Q382" s="5">
        <f>tbl_financials[[#This Row],[Net_Sales]]</f>
        <v>691012</v>
      </c>
      <c r="R382" s="5">
        <f>ROUND(tbl_financials[[#This Row],[Revenue]]*(0.12+MOD(ROW(),7)/100),2)</f>
        <v>110561.92</v>
      </c>
      <c r="S382" s="7">
        <f t="shared" si="5"/>
        <v>3842</v>
      </c>
      <c r="T382" s="5">
        <f>tbl_financials[[#This Row],[Gross_Profit]]-tbl_financials[[#This Row],[Operating_Expenses]]+tbl_financials[[#This Row],[Other_Income]]</f>
        <v>26332.080000000002</v>
      </c>
      <c r="U382" s="11">
        <f>IF(tbl_financials[[#This Row],[Revenue]]=0,0,tbl_financials[[#This Row],[Net_Profit]]/tbl_financials[[#This Row],[Revenue]])</f>
        <v>3.8106545183006955E-2</v>
      </c>
      <c r="V382" s="11" t="str">
        <f>tbl_financials[[#This Row],[Month_Name]] &amp; "_" &amp; tbl_financials[[#This Row],[Year]]</f>
        <v>November_2013</v>
      </c>
      <c r="W382" s="11" t="str">
        <f>tbl_financials[[#This Row],[Month_Name]] &amp; "_" &amp; (tbl_financials[[#This Row],[Year]]-1)</f>
        <v>November_2012</v>
      </c>
      <c r="X38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83" spans="1:24" x14ac:dyDescent="0.3">
      <c r="A383" t="s">
        <v>7</v>
      </c>
      <c r="B383" t="s">
        <v>17</v>
      </c>
      <c r="C383" t="s">
        <v>34</v>
      </c>
      <c r="D383" t="s">
        <v>40</v>
      </c>
      <c r="E383" s="9">
        <v>1946</v>
      </c>
      <c r="F383" s="7">
        <v>10</v>
      </c>
      <c r="G383" s="7">
        <v>7</v>
      </c>
      <c r="H383" s="7">
        <v>13622</v>
      </c>
      <c r="I383" s="5">
        <v>1089.76</v>
      </c>
      <c r="J383" s="5">
        <v>12532.24</v>
      </c>
      <c r="K383" s="7">
        <v>9730</v>
      </c>
      <c r="L383" s="5">
        <v>2802.24</v>
      </c>
      <c r="M383" s="1">
        <v>41609</v>
      </c>
      <c r="N383">
        <v>12</v>
      </c>
      <c r="O383" t="s">
        <v>29</v>
      </c>
      <c r="P383" t="s">
        <v>11</v>
      </c>
      <c r="Q383" s="5">
        <f>tbl_financials[[#This Row],[Net_Sales]]</f>
        <v>12532.24</v>
      </c>
      <c r="R383" s="5">
        <f>ROUND(tbl_financials[[#This Row],[Revenue]]*(0.12+MOD(ROW(),7)/100),2)</f>
        <v>2130.48</v>
      </c>
      <c r="S383" s="7">
        <f t="shared" si="5"/>
        <v>3873</v>
      </c>
      <c r="T383" s="5">
        <f>tbl_financials[[#This Row],[Gross_Profit]]-tbl_financials[[#This Row],[Operating_Expenses]]+tbl_financials[[#This Row],[Other_Income]]</f>
        <v>4544.76</v>
      </c>
      <c r="U383" s="11">
        <f>IF(tbl_financials[[#This Row],[Revenue]]=0,0,tbl_financials[[#This Row],[Net_Profit]]/tbl_financials[[#This Row],[Revenue]])</f>
        <v>0.36264546481714366</v>
      </c>
      <c r="V383" s="11" t="str">
        <f>tbl_financials[[#This Row],[Month_Name]] &amp; "_" &amp; tbl_financials[[#This Row],[Year]]</f>
        <v>December_2013</v>
      </c>
      <c r="W383" s="11" t="str">
        <f>tbl_financials[[#This Row],[Month_Name]] &amp; "_" &amp; (tbl_financials[[#This Row],[Year]]-1)</f>
        <v>December_2012</v>
      </c>
      <c r="X38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84" spans="1:24" x14ac:dyDescent="0.3">
      <c r="A384" t="s">
        <v>7</v>
      </c>
      <c r="B384" t="s">
        <v>17</v>
      </c>
      <c r="C384" t="s">
        <v>34</v>
      </c>
      <c r="D384" t="s">
        <v>40</v>
      </c>
      <c r="E384" s="9">
        <v>1362</v>
      </c>
      <c r="F384" s="7">
        <v>10</v>
      </c>
      <c r="G384" s="7">
        <v>350</v>
      </c>
      <c r="H384" s="7">
        <v>476700</v>
      </c>
      <c r="I384" s="5">
        <v>38136</v>
      </c>
      <c r="J384" s="5">
        <v>438564</v>
      </c>
      <c r="K384" s="7">
        <v>354120</v>
      </c>
      <c r="L384" s="5">
        <v>84444</v>
      </c>
      <c r="M384" s="1">
        <v>41974</v>
      </c>
      <c r="N384">
        <v>12</v>
      </c>
      <c r="O384" t="s">
        <v>29</v>
      </c>
      <c r="P384" t="s">
        <v>12</v>
      </c>
      <c r="Q384" s="5">
        <f>tbl_financials[[#This Row],[Net_Sales]]</f>
        <v>438564</v>
      </c>
      <c r="R384" s="5">
        <f>ROUND(tbl_financials[[#This Row],[Revenue]]*(0.12+MOD(ROW(),7)/100),2)</f>
        <v>78941.52</v>
      </c>
      <c r="S384" s="7">
        <f t="shared" si="5"/>
        <v>3904</v>
      </c>
      <c r="T384" s="5">
        <f>tbl_financials[[#This Row],[Gross_Profit]]-tbl_financials[[#This Row],[Operating_Expenses]]+tbl_financials[[#This Row],[Other_Income]]</f>
        <v>9406.4799999999959</v>
      </c>
      <c r="U384" s="11">
        <f>IF(tbl_financials[[#This Row],[Revenue]]=0,0,tbl_financials[[#This Row],[Net_Profit]]/tbl_financials[[#This Row],[Revenue]])</f>
        <v>2.1448363294752866E-2</v>
      </c>
      <c r="V384" s="11" t="str">
        <f>tbl_financials[[#This Row],[Month_Name]] &amp; "_" &amp; tbl_financials[[#This Row],[Year]]</f>
        <v>December_2014</v>
      </c>
      <c r="W384" s="11" t="str">
        <f>tbl_financials[[#This Row],[Month_Name]] &amp; "_" &amp; (tbl_financials[[#This Row],[Year]]-1)</f>
        <v>December_2013</v>
      </c>
      <c r="X38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12.586245353159851</v>
      </c>
    </row>
    <row r="385" spans="1:24" x14ac:dyDescent="0.3">
      <c r="A385" t="s">
        <v>8</v>
      </c>
      <c r="B385" t="s">
        <v>13</v>
      </c>
      <c r="C385" t="s">
        <v>35</v>
      </c>
      <c r="D385" t="s">
        <v>40</v>
      </c>
      <c r="E385" s="9">
        <v>598</v>
      </c>
      <c r="F385" s="7">
        <v>120</v>
      </c>
      <c r="G385" s="7">
        <v>12</v>
      </c>
      <c r="H385" s="7">
        <v>7176</v>
      </c>
      <c r="I385" s="5">
        <v>574.08000000000004</v>
      </c>
      <c r="J385" s="5">
        <v>6601.92</v>
      </c>
      <c r="K385" s="7">
        <v>1794</v>
      </c>
      <c r="L385" s="5">
        <v>4807.92</v>
      </c>
      <c r="M385" s="1">
        <v>41699</v>
      </c>
      <c r="N385">
        <v>3</v>
      </c>
      <c r="O385" t="s">
        <v>20</v>
      </c>
      <c r="P385" t="s">
        <v>12</v>
      </c>
      <c r="Q385" s="5">
        <f>tbl_financials[[#This Row],[Net_Sales]]</f>
        <v>6601.92</v>
      </c>
      <c r="R385" s="5">
        <f>ROUND(tbl_financials[[#This Row],[Revenue]]*(0.12+MOD(ROW(),7)/100),2)</f>
        <v>792.23</v>
      </c>
      <c r="S385" s="7">
        <f t="shared" si="5"/>
        <v>3935</v>
      </c>
      <c r="T385" s="5">
        <f>tbl_financials[[#This Row],[Gross_Profit]]-tbl_financials[[#This Row],[Operating_Expenses]]+tbl_financials[[#This Row],[Other_Income]]</f>
        <v>7950.6900000000005</v>
      </c>
      <c r="U385" s="11">
        <f>IF(tbl_financials[[#This Row],[Revenue]]=0,0,tbl_financials[[#This Row],[Net_Profit]]/tbl_financials[[#This Row],[Revenue]])</f>
        <v>1.2042996582812273</v>
      </c>
      <c r="V385" s="11" t="str">
        <f>tbl_financials[[#This Row],[Month_Name]] &amp; "_" &amp; tbl_financials[[#This Row],[Year]]</f>
        <v>March_2014</v>
      </c>
      <c r="W385" s="11" t="str">
        <f>tbl_financials[[#This Row],[Month_Name]] &amp; "_" &amp; (tbl_financials[[#This Row],[Year]]-1)</f>
        <v>March_2013</v>
      </c>
      <c r="X38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86" spans="1:24" x14ac:dyDescent="0.3">
      <c r="A386" t="s">
        <v>7</v>
      </c>
      <c r="B386" t="s">
        <v>14</v>
      </c>
      <c r="C386" t="s">
        <v>35</v>
      </c>
      <c r="D386" t="s">
        <v>40</v>
      </c>
      <c r="E386" s="9">
        <v>2907</v>
      </c>
      <c r="F386" s="7">
        <v>120</v>
      </c>
      <c r="G386" s="7">
        <v>7</v>
      </c>
      <c r="H386" s="7">
        <v>20349</v>
      </c>
      <c r="I386" s="5">
        <v>1627.92</v>
      </c>
      <c r="J386" s="5">
        <v>18721.080000000002</v>
      </c>
      <c r="K386" s="7">
        <v>14535</v>
      </c>
      <c r="L386" s="5">
        <v>4186.08</v>
      </c>
      <c r="M386" s="1">
        <v>41791</v>
      </c>
      <c r="N386">
        <v>6</v>
      </c>
      <c r="O386" t="s">
        <v>23</v>
      </c>
      <c r="P386" t="s">
        <v>12</v>
      </c>
      <c r="Q386" s="5">
        <f>tbl_financials[[#This Row],[Net_Sales]]</f>
        <v>18721.080000000002</v>
      </c>
      <c r="R386" s="5">
        <f>ROUND(tbl_financials[[#This Row],[Revenue]]*(0.12+MOD(ROW(),7)/100),2)</f>
        <v>2433.7399999999998</v>
      </c>
      <c r="S386" s="7">
        <f t="shared" ref="S386:S449" si="6">ROUND(1000+MOD(ROW()*31,9000),0)</f>
        <v>3966</v>
      </c>
      <c r="T386" s="5">
        <f>tbl_financials[[#This Row],[Gross_Profit]]-tbl_financials[[#This Row],[Operating_Expenses]]+tbl_financials[[#This Row],[Other_Income]]</f>
        <v>5718.34</v>
      </c>
      <c r="U386" s="11">
        <f>IF(tbl_financials[[#This Row],[Revenue]]=0,0,tbl_financials[[#This Row],[Net_Profit]]/tbl_financials[[#This Row],[Revenue]])</f>
        <v>0.30544925826928787</v>
      </c>
      <c r="V386" s="11" t="str">
        <f>tbl_financials[[#This Row],[Month_Name]] &amp; "_" &amp; tbl_financials[[#This Row],[Year]]</f>
        <v>June_2014</v>
      </c>
      <c r="W386" s="11" t="str">
        <f>tbl_financials[[#This Row],[Month_Name]] &amp; "_" &amp; (tbl_financials[[#This Row],[Year]]-1)</f>
        <v>June_2013</v>
      </c>
      <c r="X38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87" spans="1:24" x14ac:dyDescent="0.3">
      <c r="A387" t="s">
        <v>7</v>
      </c>
      <c r="B387" t="s">
        <v>16</v>
      </c>
      <c r="C387" t="s">
        <v>35</v>
      </c>
      <c r="D387" t="s">
        <v>40</v>
      </c>
      <c r="E387" s="9">
        <v>2338</v>
      </c>
      <c r="F387" s="7">
        <v>120</v>
      </c>
      <c r="G387" s="7">
        <v>7</v>
      </c>
      <c r="H387" s="7">
        <v>16366</v>
      </c>
      <c r="I387" s="5">
        <v>1309.28</v>
      </c>
      <c r="J387" s="5">
        <v>15056.72</v>
      </c>
      <c r="K387" s="7">
        <v>11690</v>
      </c>
      <c r="L387" s="5">
        <v>3366.7199999999898</v>
      </c>
      <c r="M387" s="1">
        <v>41791</v>
      </c>
      <c r="N387">
        <v>6</v>
      </c>
      <c r="O387" t="s">
        <v>23</v>
      </c>
      <c r="P387" t="s">
        <v>12</v>
      </c>
      <c r="Q387" s="5">
        <f>tbl_financials[[#This Row],[Net_Sales]]</f>
        <v>15056.72</v>
      </c>
      <c r="R387" s="5">
        <f>ROUND(tbl_financials[[#This Row],[Revenue]]*(0.12+MOD(ROW(),7)/100),2)</f>
        <v>2107.94</v>
      </c>
      <c r="S387" s="7">
        <f t="shared" si="6"/>
        <v>3997</v>
      </c>
      <c r="T387" s="5">
        <f>tbl_financials[[#This Row],[Gross_Profit]]-tbl_financials[[#This Row],[Operating_Expenses]]+tbl_financials[[#This Row],[Other_Income]]</f>
        <v>5255.7799999999897</v>
      </c>
      <c r="U387" s="11">
        <f>IF(tbl_financials[[#This Row],[Revenue]]=0,0,tbl_financials[[#This Row],[Net_Profit]]/tbl_financials[[#This Row],[Revenue]])</f>
        <v>0.34906540069815933</v>
      </c>
      <c r="V387" s="11" t="str">
        <f>tbl_financials[[#This Row],[Month_Name]] &amp; "_" &amp; tbl_financials[[#This Row],[Year]]</f>
        <v>June_2014</v>
      </c>
      <c r="W387" s="11" t="str">
        <f>tbl_financials[[#This Row],[Month_Name]] &amp; "_" &amp; (tbl_financials[[#This Row],[Year]]-1)</f>
        <v>June_2013</v>
      </c>
      <c r="X38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88" spans="1:24" x14ac:dyDescent="0.3">
      <c r="A388" t="s">
        <v>4</v>
      </c>
      <c r="B388" t="s">
        <v>15</v>
      </c>
      <c r="C388" t="s">
        <v>35</v>
      </c>
      <c r="D388" t="s">
        <v>40</v>
      </c>
      <c r="E388" s="9">
        <v>386</v>
      </c>
      <c r="F388" s="7">
        <v>120</v>
      </c>
      <c r="G388" s="7">
        <v>300</v>
      </c>
      <c r="H388" s="7">
        <v>115800</v>
      </c>
      <c r="I388" s="5">
        <v>9264</v>
      </c>
      <c r="J388" s="5">
        <v>106536</v>
      </c>
      <c r="K388" s="7">
        <v>96500</v>
      </c>
      <c r="L388" s="5">
        <v>10036</v>
      </c>
      <c r="M388" s="1">
        <v>41579</v>
      </c>
      <c r="N388">
        <v>11</v>
      </c>
      <c r="O388" t="s">
        <v>28</v>
      </c>
      <c r="P388" t="s">
        <v>11</v>
      </c>
      <c r="Q388" s="5">
        <f>tbl_financials[[#This Row],[Net_Sales]]</f>
        <v>106536</v>
      </c>
      <c r="R388" s="5">
        <f>ROUND(tbl_financials[[#This Row],[Revenue]]*(0.12+MOD(ROW(),7)/100),2)</f>
        <v>15980.4</v>
      </c>
      <c r="S388" s="7">
        <f t="shared" si="6"/>
        <v>4028</v>
      </c>
      <c r="T388" s="5">
        <f>tbl_financials[[#This Row],[Gross_Profit]]-tbl_financials[[#This Row],[Operating_Expenses]]+tbl_financials[[#This Row],[Other_Income]]</f>
        <v>-1916.3999999999996</v>
      </c>
      <c r="U388" s="11">
        <f>IF(tbl_financials[[#This Row],[Revenue]]=0,0,tbl_financials[[#This Row],[Net_Profit]]/tbl_financials[[#This Row],[Revenue]])</f>
        <v>-1.7988285649921151E-2</v>
      </c>
      <c r="V388" s="11" t="str">
        <f>tbl_financials[[#This Row],[Month_Name]] &amp; "_" &amp; tbl_financials[[#This Row],[Year]]</f>
        <v>November_2013</v>
      </c>
      <c r="W388" s="11" t="str">
        <f>tbl_financials[[#This Row],[Month_Name]] &amp; "_" &amp; (tbl_financials[[#This Row],[Year]]-1)</f>
        <v>November_2012</v>
      </c>
      <c r="X38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89" spans="1:24" x14ac:dyDescent="0.3">
      <c r="A389" t="s">
        <v>4</v>
      </c>
      <c r="B389" t="s">
        <v>17</v>
      </c>
      <c r="C389" t="s">
        <v>35</v>
      </c>
      <c r="D389" t="s">
        <v>40</v>
      </c>
      <c r="E389" s="9">
        <v>635</v>
      </c>
      <c r="F389" s="7">
        <v>120</v>
      </c>
      <c r="G389" s="7">
        <v>300</v>
      </c>
      <c r="H389" s="7">
        <v>190500</v>
      </c>
      <c r="I389" s="5">
        <v>15240</v>
      </c>
      <c r="J389" s="5">
        <v>175260</v>
      </c>
      <c r="K389" s="7">
        <v>158750</v>
      </c>
      <c r="L389" s="5">
        <v>16510</v>
      </c>
      <c r="M389" s="1">
        <v>41974</v>
      </c>
      <c r="N389">
        <v>12</v>
      </c>
      <c r="O389" t="s">
        <v>29</v>
      </c>
      <c r="P389" t="s">
        <v>12</v>
      </c>
      <c r="Q389" s="5">
        <f>tbl_financials[[#This Row],[Net_Sales]]</f>
        <v>175260</v>
      </c>
      <c r="R389" s="5">
        <f>ROUND(tbl_financials[[#This Row],[Revenue]]*(0.12+MOD(ROW(),7)/100),2)</f>
        <v>28041.599999999999</v>
      </c>
      <c r="S389" s="7">
        <f t="shared" si="6"/>
        <v>4059</v>
      </c>
      <c r="T389" s="5">
        <f>tbl_financials[[#This Row],[Gross_Profit]]-tbl_financials[[#This Row],[Operating_Expenses]]+tbl_financials[[#This Row],[Other_Income]]</f>
        <v>-7472.5999999999985</v>
      </c>
      <c r="U389" s="11">
        <f>IF(tbl_financials[[#This Row],[Revenue]]=0,0,tbl_financials[[#This Row],[Net_Profit]]/tbl_financials[[#This Row],[Revenue]])</f>
        <v>-4.263722469473924E-2</v>
      </c>
      <c r="V389" s="11" t="str">
        <f>tbl_financials[[#This Row],[Month_Name]] &amp; "_" &amp; tbl_financials[[#This Row],[Year]]</f>
        <v>December_2014</v>
      </c>
      <c r="W389" s="11" t="str">
        <f>tbl_financials[[#This Row],[Month_Name]] &amp; "_" &amp; (tbl_financials[[#This Row],[Year]]-1)</f>
        <v>December_2013</v>
      </c>
      <c r="X38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4.4293680297397771</v>
      </c>
    </row>
    <row r="390" spans="1:24" x14ac:dyDescent="0.3">
      <c r="A390" t="s">
        <v>7</v>
      </c>
      <c r="B390" t="s">
        <v>15</v>
      </c>
      <c r="C390" t="s">
        <v>36</v>
      </c>
      <c r="D390" t="s">
        <v>40</v>
      </c>
      <c r="E390" s="9">
        <v>574.5</v>
      </c>
      <c r="F390" s="7">
        <v>250</v>
      </c>
      <c r="G390" s="7">
        <v>350</v>
      </c>
      <c r="H390" s="7">
        <v>201075</v>
      </c>
      <c r="I390" s="5">
        <v>16086</v>
      </c>
      <c r="J390" s="5">
        <v>184989</v>
      </c>
      <c r="K390" s="7">
        <v>149370</v>
      </c>
      <c r="L390" s="5">
        <v>35619</v>
      </c>
      <c r="M390" s="1">
        <v>41730</v>
      </c>
      <c r="N390">
        <v>4</v>
      </c>
      <c r="O390" t="s">
        <v>21</v>
      </c>
      <c r="P390" t="s">
        <v>12</v>
      </c>
      <c r="Q390" s="5">
        <f>tbl_financials[[#This Row],[Net_Sales]]</f>
        <v>184989</v>
      </c>
      <c r="R390" s="5">
        <f>ROUND(tbl_financials[[#This Row],[Revenue]]*(0.12+MOD(ROW(),7)/100),2)</f>
        <v>31448.13</v>
      </c>
      <c r="S390" s="7">
        <f t="shared" si="6"/>
        <v>4090</v>
      </c>
      <c r="T390" s="5">
        <f>tbl_financials[[#This Row],[Gross_Profit]]-tbl_financials[[#This Row],[Operating_Expenses]]+tbl_financials[[#This Row],[Other_Income]]</f>
        <v>8260.869999999999</v>
      </c>
      <c r="U390" s="11">
        <f>IF(tbl_financials[[#This Row],[Revenue]]=0,0,tbl_financials[[#This Row],[Net_Profit]]/tbl_financials[[#This Row],[Revenue]])</f>
        <v>4.4656006573363813E-2</v>
      </c>
      <c r="V390" s="11" t="str">
        <f>tbl_financials[[#This Row],[Month_Name]] &amp; "_" &amp; tbl_financials[[#This Row],[Year]]</f>
        <v>April_2014</v>
      </c>
      <c r="W390" s="11" t="str">
        <f>tbl_financials[[#This Row],[Month_Name]] &amp; "_" &amp; (tbl_financials[[#This Row],[Year]]-1)</f>
        <v>April_2013</v>
      </c>
      <c r="X39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91" spans="1:24" x14ac:dyDescent="0.3">
      <c r="A391" t="s">
        <v>7</v>
      </c>
      <c r="B391" t="s">
        <v>16</v>
      </c>
      <c r="C391" t="s">
        <v>36</v>
      </c>
      <c r="D391" t="s">
        <v>40</v>
      </c>
      <c r="E391" s="9">
        <v>2338</v>
      </c>
      <c r="F391" s="7">
        <v>250</v>
      </c>
      <c r="G391" s="7">
        <v>7</v>
      </c>
      <c r="H391" s="7">
        <v>16366</v>
      </c>
      <c r="I391" s="5">
        <v>1309.28</v>
      </c>
      <c r="J391" s="5">
        <v>15056.72</v>
      </c>
      <c r="K391" s="7">
        <v>11690</v>
      </c>
      <c r="L391" s="5">
        <v>3366.7199999999898</v>
      </c>
      <c r="M391" s="1">
        <v>41791</v>
      </c>
      <c r="N391">
        <v>6</v>
      </c>
      <c r="O391" t="s">
        <v>23</v>
      </c>
      <c r="P391" t="s">
        <v>12</v>
      </c>
      <c r="Q391" s="5">
        <f>tbl_financials[[#This Row],[Net_Sales]]</f>
        <v>15056.72</v>
      </c>
      <c r="R391" s="5">
        <f>ROUND(tbl_financials[[#This Row],[Revenue]]*(0.12+MOD(ROW(),7)/100),2)</f>
        <v>2710.21</v>
      </c>
      <c r="S391" s="7">
        <f t="shared" si="6"/>
        <v>4121</v>
      </c>
      <c r="T391" s="5">
        <f>tbl_financials[[#This Row],[Gross_Profit]]-tbl_financials[[#This Row],[Operating_Expenses]]+tbl_financials[[#This Row],[Other_Income]]</f>
        <v>4777.5099999999893</v>
      </c>
      <c r="U391" s="11">
        <f>IF(tbl_financials[[#This Row],[Revenue]]=0,0,tbl_financials[[#This Row],[Net_Profit]]/tbl_financials[[#This Row],[Revenue]])</f>
        <v>0.31730084639948075</v>
      </c>
      <c r="V391" s="11" t="str">
        <f>tbl_financials[[#This Row],[Month_Name]] &amp; "_" &amp; tbl_financials[[#This Row],[Year]]</f>
        <v>June_2014</v>
      </c>
      <c r="W391" s="11" t="str">
        <f>tbl_financials[[#This Row],[Month_Name]] &amp; "_" &amp; (tbl_financials[[#This Row],[Year]]-1)</f>
        <v>June_2013</v>
      </c>
      <c r="X39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92" spans="1:24" x14ac:dyDescent="0.3">
      <c r="A392" t="s">
        <v>7</v>
      </c>
      <c r="B392" t="s">
        <v>15</v>
      </c>
      <c r="C392" t="s">
        <v>36</v>
      </c>
      <c r="D392" t="s">
        <v>40</v>
      </c>
      <c r="E392" s="9">
        <v>381</v>
      </c>
      <c r="F392" s="7">
        <v>250</v>
      </c>
      <c r="G392" s="7">
        <v>350</v>
      </c>
      <c r="H392" s="7">
        <v>133350</v>
      </c>
      <c r="I392" s="5">
        <v>10668</v>
      </c>
      <c r="J392" s="5">
        <v>122682</v>
      </c>
      <c r="K392" s="7">
        <v>99060</v>
      </c>
      <c r="L392" s="5">
        <v>23622</v>
      </c>
      <c r="M392" s="1">
        <v>41852</v>
      </c>
      <c r="N392">
        <v>8</v>
      </c>
      <c r="O392" t="s">
        <v>25</v>
      </c>
      <c r="P392" t="s">
        <v>12</v>
      </c>
      <c r="Q392" s="5">
        <f>tbl_financials[[#This Row],[Net_Sales]]</f>
        <v>122682</v>
      </c>
      <c r="R392" s="5">
        <f>ROUND(tbl_financials[[#This Row],[Revenue]]*(0.12+MOD(ROW(),7)/100),2)</f>
        <v>14721.84</v>
      </c>
      <c r="S392" s="7">
        <f t="shared" si="6"/>
        <v>4152</v>
      </c>
      <c r="T392" s="5">
        <f>tbl_financials[[#This Row],[Gross_Profit]]-tbl_financials[[#This Row],[Operating_Expenses]]+tbl_financials[[#This Row],[Other_Income]]</f>
        <v>13052.16</v>
      </c>
      <c r="U392" s="11">
        <f>IF(tbl_financials[[#This Row],[Revenue]]=0,0,tbl_financials[[#This Row],[Net_Profit]]/tbl_financials[[#This Row],[Revenue]])</f>
        <v>0.1063901794884335</v>
      </c>
      <c r="V392" s="11" t="str">
        <f>tbl_financials[[#This Row],[Month_Name]] &amp; "_" &amp; tbl_financials[[#This Row],[Year]]</f>
        <v>August_2014</v>
      </c>
      <c r="W392" s="11" t="str">
        <f>tbl_financials[[#This Row],[Month_Name]] &amp; "_" &amp; (tbl_financials[[#This Row],[Year]]-1)</f>
        <v>August_2013</v>
      </c>
      <c r="X39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93" spans="1:24" x14ac:dyDescent="0.3">
      <c r="A393" t="s">
        <v>7</v>
      </c>
      <c r="B393" t="s">
        <v>16</v>
      </c>
      <c r="C393" t="s">
        <v>36</v>
      </c>
      <c r="D393" t="s">
        <v>40</v>
      </c>
      <c r="E393" s="9">
        <v>422</v>
      </c>
      <c r="F393" s="7">
        <v>250</v>
      </c>
      <c r="G393" s="7">
        <v>350</v>
      </c>
      <c r="H393" s="7">
        <v>147700</v>
      </c>
      <c r="I393" s="5">
        <v>11816</v>
      </c>
      <c r="J393" s="5">
        <v>135884</v>
      </c>
      <c r="K393" s="7">
        <v>109720</v>
      </c>
      <c r="L393" s="5">
        <v>26164</v>
      </c>
      <c r="M393" s="1">
        <v>41852</v>
      </c>
      <c r="N393">
        <v>8</v>
      </c>
      <c r="O393" t="s">
        <v>25</v>
      </c>
      <c r="P393" t="s">
        <v>12</v>
      </c>
      <c r="Q393" s="5">
        <f>tbl_financials[[#This Row],[Net_Sales]]</f>
        <v>135884</v>
      </c>
      <c r="R393" s="5">
        <f>ROUND(tbl_financials[[#This Row],[Revenue]]*(0.12+MOD(ROW(),7)/100),2)</f>
        <v>17664.919999999998</v>
      </c>
      <c r="S393" s="7">
        <f t="shared" si="6"/>
        <v>4183</v>
      </c>
      <c r="T393" s="5">
        <f>tbl_financials[[#This Row],[Gross_Profit]]-tbl_financials[[#This Row],[Operating_Expenses]]+tbl_financials[[#This Row],[Other_Income]]</f>
        <v>12682.080000000002</v>
      </c>
      <c r="U393" s="11">
        <f>IF(tbl_financials[[#This Row],[Revenue]]=0,0,tbl_financials[[#This Row],[Net_Profit]]/tbl_financials[[#This Row],[Revenue]])</f>
        <v>9.333019340025317E-2</v>
      </c>
      <c r="V393" s="11" t="str">
        <f>tbl_financials[[#This Row],[Month_Name]] &amp; "_" &amp; tbl_financials[[#This Row],[Year]]</f>
        <v>August_2014</v>
      </c>
      <c r="W393" s="11" t="str">
        <f>tbl_financials[[#This Row],[Month_Name]] &amp; "_" &amp; (tbl_financials[[#This Row],[Year]]-1)</f>
        <v>August_2013</v>
      </c>
      <c r="X39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94" spans="1:24" x14ac:dyDescent="0.3">
      <c r="A394" t="s">
        <v>4</v>
      </c>
      <c r="B394" t="s">
        <v>13</v>
      </c>
      <c r="C394" t="s">
        <v>36</v>
      </c>
      <c r="D394" t="s">
        <v>40</v>
      </c>
      <c r="E394" s="9">
        <v>2134</v>
      </c>
      <c r="F394" s="7">
        <v>250</v>
      </c>
      <c r="G394" s="7">
        <v>300</v>
      </c>
      <c r="H394" s="7">
        <v>640200</v>
      </c>
      <c r="I394" s="5">
        <v>51216</v>
      </c>
      <c r="J394" s="5">
        <v>588984</v>
      </c>
      <c r="K394" s="7">
        <v>533500</v>
      </c>
      <c r="L394" s="5">
        <v>55484</v>
      </c>
      <c r="M394" s="1">
        <v>41883</v>
      </c>
      <c r="N394">
        <v>9</v>
      </c>
      <c r="O394" t="s">
        <v>26</v>
      </c>
      <c r="P394" t="s">
        <v>12</v>
      </c>
      <c r="Q394" s="5">
        <f>tbl_financials[[#This Row],[Net_Sales]]</f>
        <v>588984</v>
      </c>
      <c r="R394" s="5">
        <f>ROUND(tbl_financials[[#This Row],[Revenue]]*(0.12+MOD(ROW(),7)/100),2)</f>
        <v>82457.759999999995</v>
      </c>
      <c r="S394" s="7">
        <f t="shared" si="6"/>
        <v>4214</v>
      </c>
      <c r="T394" s="5">
        <f>tbl_financials[[#This Row],[Gross_Profit]]-tbl_financials[[#This Row],[Operating_Expenses]]+tbl_financials[[#This Row],[Other_Income]]</f>
        <v>-22759.759999999995</v>
      </c>
      <c r="U394" s="11">
        <f>IF(tbl_financials[[#This Row],[Revenue]]=0,0,tbl_financials[[#This Row],[Net_Profit]]/tbl_financials[[#This Row],[Revenue]])</f>
        <v>-3.8642407943169928E-2</v>
      </c>
      <c r="V394" s="11" t="str">
        <f>tbl_financials[[#This Row],[Month_Name]] &amp; "_" &amp; tbl_financials[[#This Row],[Year]]</f>
        <v>September_2014</v>
      </c>
      <c r="W394" s="11" t="str">
        <f>tbl_financials[[#This Row],[Month_Name]] &amp; "_" &amp; (tbl_financials[[#This Row],[Year]]-1)</f>
        <v>September_2013</v>
      </c>
      <c r="X39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70.522040072859738</v>
      </c>
    </row>
    <row r="395" spans="1:24" x14ac:dyDescent="0.3">
      <c r="A395" t="s">
        <v>4</v>
      </c>
      <c r="B395" t="s">
        <v>14</v>
      </c>
      <c r="C395" t="s">
        <v>36</v>
      </c>
      <c r="D395" t="s">
        <v>40</v>
      </c>
      <c r="E395" s="9">
        <v>808</v>
      </c>
      <c r="F395" s="7">
        <v>250</v>
      </c>
      <c r="G395" s="7">
        <v>300</v>
      </c>
      <c r="H395" s="7">
        <v>242400</v>
      </c>
      <c r="I395" s="5">
        <v>19392</v>
      </c>
      <c r="J395" s="5">
        <v>223008</v>
      </c>
      <c r="K395" s="7">
        <v>202000</v>
      </c>
      <c r="L395" s="5">
        <v>21008</v>
      </c>
      <c r="M395" s="1">
        <v>41609</v>
      </c>
      <c r="N395">
        <v>12</v>
      </c>
      <c r="O395" t="s">
        <v>29</v>
      </c>
      <c r="P395" t="s">
        <v>11</v>
      </c>
      <c r="Q395" s="5">
        <f>tbl_financials[[#This Row],[Net_Sales]]</f>
        <v>223008</v>
      </c>
      <c r="R395" s="5">
        <f>ROUND(tbl_financials[[#This Row],[Revenue]]*(0.12+MOD(ROW(),7)/100),2)</f>
        <v>33451.199999999997</v>
      </c>
      <c r="S395" s="7">
        <f t="shared" si="6"/>
        <v>4245</v>
      </c>
      <c r="T395" s="5">
        <f>tbl_financials[[#This Row],[Gross_Profit]]-tbl_financials[[#This Row],[Operating_Expenses]]+tbl_financials[[#This Row],[Other_Income]]</f>
        <v>-8198.1999999999971</v>
      </c>
      <c r="U395" s="11">
        <f>IF(tbl_financials[[#This Row],[Revenue]]=0,0,tbl_financials[[#This Row],[Net_Profit]]/tbl_financials[[#This Row],[Revenue]])</f>
        <v>-3.6761909886640826E-2</v>
      </c>
      <c r="V395" s="11" t="str">
        <f>tbl_financials[[#This Row],[Month_Name]] &amp; "_" &amp; tbl_financials[[#This Row],[Year]]</f>
        <v>December_2013</v>
      </c>
      <c r="W395" s="11" t="str">
        <f>tbl_financials[[#This Row],[Month_Name]] &amp; "_" &amp; (tbl_financials[[#This Row],[Year]]-1)</f>
        <v>December_2012</v>
      </c>
      <c r="X39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96" spans="1:24" x14ac:dyDescent="0.3">
      <c r="A396" t="s">
        <v>7</v>
      </c>
      <c r="B396" t="s">
        <v>13</v>
      </c>
      <c r="C396" t="s">
        <v>37</v>
      </c>
      <c r="D396" t="s">
        <v>40</v>
      </c>
      <c r="E396" s="9">
        <v>708</v>
      </c>
      <c r="F396" s="7">
        <v>260</v>
      </c>
      <c r="G396" s="7">
        <v>20</v>
      </c>
      <c r="H396" s="7">
        <v>14160</v>
      </c>
      <c r="I396" s="5">
        <v>1132.8</v>
      </c>
      <c r="J396" s="5">
        <v>13027.2</v>
      </c>
      <c r="K396" s="7">
        <v>7080</v>
      </c>
      <c r="L396" s="5">
        <v>5947.2</v>
      </c>
      <c r="M396" s="1">
        <v>41791</v>
      </c>
      <c r="N396">
        <v>6</v>
      </c>
      <c r="O396" t="s">
        <v>23</v>
      </c>
      <c r="P396" t="s">
        <v>12</v>
      </c>
      <c r="Q396" s="5">
        <f>tbl_financials[[#This Row],[Net_Sales]]</f>
        <v>13027.2</v>
      </c>
      <c r="R396" s="5">
        <f>ROUND(tbl_financials[[#This Row],[Revenue]]*(0.12+MOD(ROW(),7)/100),2)</f>
        <v>2084.35</v>
      </c>
      <c r="S396" s="7">
        <f t="shared" si="6"/>
        <v>4276</v>
      </c>
      <c r="T396" s="5">
        <f>tbl_financials[[#This Row],[Gross_Profit]]-tbl_financials[[#This Row],[Operating_Expenses]]+tbl_financials[[#This Row],[Other_Income]]</f>
        <v>8138.85</v>
      </c>
      <c r="U396" s="11">
        <f>IF(tbl_financials[[#This Row],[Revenue]]=0,0,tbl_financials[[#This Row],[Net_Profit]]/tbl_financials[[#This Row],[Revenue]])</f>
        <v>0.62475819823139278</v>
      </c>
      <c r="V396" s="11" t="str">
        <f>tbl_financials[[#This Row],[Month_Name]] &amp; "_" &amp; tbl_financials[[#This Row],[Year]]</f>
        <v>June_2014</v>
      </c>
      <c r="W396" s="11" t="str">
        <f>tbl_financials[[#This Row],[Month_Name]] &amp; "_" &amp; (tbl_financials[[#This Row],[Year]]-1)</f>
        <v>June_2013</v>
      </c>
      <c r="X39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97" spans="1:24" x14ac:dyDescent="0.3">
      <c r="A397" t="s">
        <v>7</v>
      </c>
      <c r="B397" t="s">
        <v>14</v>
      </c>
      <c r="C397" t="s">
        <v>37</v>
      </c>
      <c r="D397" t="s">
        <v>40</v>
      </c>
      <c r="E397" s="9">
        <v>2907</v>
      </c>
      <c r="F397" s="7">
        <v>260</v>
      </c>
      <c r="G397" s="7">
        <v>7</v>
      </c>
      <c r="H397" s="7">
        <v>20349</v>
      </c>
      <c r="I397" s="5">
        <v>1627.92</v>
      </c>
      <c r="J397" s="5">
        <v>18721.080000000002</v>
      </c>
      <c r="K397" s="7">
        <v>14535</v>
      </c>
      <c r="L397" s="5">
        <v>4186.08</v>
      </c>
      <c r="M397" s="1">
        <v>41791</v>
      </c>
      <c r="N397">
        <v>6</v>
      </c>
      <c r="O397" t="s">
        <v>23</v>
      </c>
      <c r="P397" t="s">
        <v>12</v>
      </c>
      <c r="Q397" s="5">
        <f>tbl_financials[[#This Row],[Net_Sales]]</f>
        <v>18721.080000000002</v>
      </c>
      <c r="R397" s="5">
        <f>ROUND(tbl_financials[[#This Row],[Revenue]]*(0.12+MOD(ROW(),7)/100),2)</f>
        <v>3182.58</v>
      </c>
      <c r="S397" s="7">
        <f t="shared" si="6"/>
        <v>4307</v>
      </c>
      <c r="T397" s="5">
        <f>tbl_financials[[#This Row],[Gross_Profit]]-tbl_financials[[#This Row],[Operating_Expenses]]+tbl_financials[[#This Row],[Other_Income]]</f>
        <v>5310.5</v>
      </c>
      <c r="U397" s="11">
        <f>IF(tbl_financials[[#This Row],[Revenue]]=0,0,tbl_financials[[#This Row],[Net_Profit]]/tbl_financials[[#This Row],[Revenue]])</f>
        <v>0.28366419031380663</v>
      </c>
      <c r="V397" s="11" t="str">
        <f>tbl_financials[[#This Row],[Month_Name]] &amp; "_" &amp; tbl_financials[[#This Row],[Year]]</f>
        <v>June_2014</v>
      </c>
      <c r="W397" s="11" t="str">
        <f>tbl_financials[[#This Row],[Month_Name]] &amp; "_" &amp; (tbl_financials[[#This Row],[Year]]-1)</f>
        <v>June_2013</v>
      </c>
      <c r="X39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98" spans="1:24" x14ac:dyDescent="0.3">
      <c r="A398" t="s">
        <v>7</v>
      </c>
      <c r="B398" t="s">
        <v>16</v>
      </c>
      <c r="C398" t="s">
        <v>37</v>
      </c>
      <c r="D398" t="s">
        <v>40</v>
      </c>
      <c r="E398" s="9">
        <v>1366</v>
      </c>
      <c r="F398" s="7">
        <v>260</v>
      </c>
      <c r="G398" s="7">
        <v>20</v>
      </c>
      <c r="H398" s="7">
        <v>27320</v>
      </c>
      <c r="I398" s="5">
        <v>2185.6</v>
      </c>
      <c r="J398" s="5">
        <v>25134.400000000001</v>
      </c>
      <c r="K398" s="7">
        <v>13660</v>
      </c>
      <c r="L398" s="5">
        <v>11474.4</v>
      </c>
      <c r="M398" s="1">
        <v>41791</v>
      </c>
      <c r="N398">
        <v>6</v>
      </c>
      <c r="O398" t="s">
        <v>23</v>
      </c>
      <c r="P398" t="s">
        <v>12</v>
      </c>
      <c r="Q398" s="5">
        <f>tbl_financials[[#This Row],[Net_Sales]]</f>
        <v>25134.400000000001</v>
      </c>
      <c r="R398" s="5">
        <f>ROUND(tbl_financials[[#This Row],[Revenue]]*(0.12+MOD(ROW(),7)/100),2)</f>
        <v>4524.1899999999996</v>
      </c>
      <c r="S398" s="7">
        <f t="shared" si="6"/>
        <v>4338</v>
      </c>
      <c r="T398" s="5">
        <f>tbl_financials[[#This Row],[Gross_Profit]]-tbl_financials[[#This Row],[Operating_Expenses]]+tbl_financials[[#This Row],[Other_Income]]</f>
        <v>11288.21</v>
      </c>
      <c r="U398" s="11">
        <f>IF(tbl_financials[[#This Row],[Revenue]]=0,0,tbl_financials[[#This Row],[Net_Profit]]/tbl_financials[[#This Row],[Revenue]])</f>
        <v>0.44911396333312109</v>
      </c>
      <c r="V398" s="11" t="str">
        <f>tbl_financials[[#This Row],[Month_Name]] &amp; "_" &amp; tbl_financials[[#This Row],[Year]]</f>
        <v>June_2014</v>
      </c>
      <c r="W398" s="11" t="str">
        <f>tbl_financials[[#This Row],[Month_Name]] &amp; "_" &amp; (tbl_financials[[#This Row],[Year]]-1)</f>
        <v>June_2013</v>
      </c>
      <c r="X39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399" spans="1:24" x14ac:dyDescent="0.3">
      <c r="A399" t="s">
        <v>4</v>
      </c>
      <c r="B399" t="s">
        <v>17</v>
      </c>
      <c r="C399" t="s">
        <v>37</v>
      </c>
      <c r="D399" t="s">
        <v>40</v>
      </c>
      <c r="E399" s="9">
        <v>2460</v>
      </c>
      <c r="F399" s="7">
        <v>260</v>
      </c>
      <c r="G399" s="7">
        <v>300</v>
      </c>
      <c r="H399" s="7">
        <v>738000</v>
      </c>
      <c r="I399" s="5">
        <v>59040</v>
      </c>
      <c r="J399" s="5">
        <v>678960</v>
      </c>
      <c r="K399" s="7">
        <v>615000</v>
      </c>
      <c r="L399" s="5">
        <v>63960</v>
      </c>
      <c r="M399" s="1">
        <v>41791</v>
      </c>
      <c r="N399">
        <v>6</v>
      </c>
      <c r="O399" t="s">
        <v>23</v>
      </c>
      <c r="P399" t="s">
        <v>12</v>
      </c>
      <c r="Q399" s="5">
        <f>tbl_financials[[#This Row],[Net_Sales]]</f>
        <v>678960</v>
      </c>
      <c r="R399" s="5">
        <f>ROUND(tbl_financials[[#This Row],[Revenue]]*(0.12+MOD(ROW(),7)/100),2)</f>
        <v>81475.199999999997</v>
      </c>
      <c r="S399" s="7">
        <f t="shared" si="6"/>
        <v>4369</v>
      </c>
      <c r="T399" s="5">
        <f>tbl_financials[[#This Row],[Gross_Profit]]-tbl_financials[[#This Row],[Operating_Expenses]]+tbl_financials[[#This Row],[Other_Income]]</f>
        <v>-13146.199999999997</v>
      </c>
      <c r="U399" s="11">
        <f>IF(tbl_financials[[#This Row],[Revenue]]=0,0,tbl_financials[[#This Row],[Net_Profit]]/tbl_financials[[#This Row],[Revenue]])</f>
        <v>-1.9362259926947092E-2</v>
      </c>
      <c r="V399" s="11" t="str">
        <f>tbl_financials[[#This Row],[Month_Name]] &amp; "_" &amp; tbl_financials[[#This Row],[Year]]</f>
        <v>June_2014</v>
      </c>
      <c r="W399" s="11" t="str">
        <f>tbl_financials[[#This Row],[Month_Name]] &amp; "_" &amp; (tbl_financials[[#This Row],[Year]]-1)</f>
        <v>June_2013</v>
      </c>
      <c r="X39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00" spans="1:24" x14ac:dyDescent="0.3">
      <c r="A400" t="s">
        <v>7</v>
      </c>
      <c r="B400" t="s">
        <v>16</v>
      </c>
      <c r="C400" t="s">
        <v>37</v>
      </c>
      <c r="D400" t="s">
        <v>40</v>
      </c>
      <c r="E400" s="9">
        <v>1520</v>
      </c>
      <c r="F400" s="7">
        <v>260</v>
      </c>
      <c r="G400" s="7">
        <v>20</v>
      </c>
      <c r="H400" s="7">
        <v>30400</v>
      </c>
      <c r="I400" s="5">
        <v>2432</v>
      </c>
      <c r="J400" s="5">
        <v>27968</v>
      </c>
      <c r="K400" s="7">
        <v>15200</v>
      </c>
      <c r="L400" s="5">
        <v>12768</v>
      </c>
      <c r="M400" s="1">
        <v>41944</v>
      </c>
      <c r="N400">
        <v>11</v>
      </c>
      <c r="O400" t="s">
        <v>28</v>
      </c>
      <c r="P400" t="s">
        <v>12</v>
      </c>
      <c r="Q400" s="5">
        <f>tbl_financials[[#This Row],[Net_Sales]]</f>
        <v>27968</v>
      </c>
      <c r="R400" s="5">
        <f>ROUND(tbl_financials[[#This Row],[Revenue]]*(0.12+MOD(ROW(),7)/100),2)</f>
        <v>3635.84</v>
      </c>
      <c r="S400" s="7">
        <f t="shared" si="6"/>
        <v>4400</v>
      </c>
      <c r="T400" s="5">
        <f>tbl_financials[[#This Row],[Gross_Profit]]-tbl_financials[[#This Row],[Operating_Expenses]]+tbl_financials[[#This Row],[Other_Income]]</f>
        <v>13532.16</v>
      </c>
      <c r="U400" s="11">
        <f>IF(tbl_financials[[#This Row],[Revenue]]=0,0,tbl_financials[[#This Row],[Net_Profit]]/tbl_financials[[#This Row],[Revenue]])</f>
        <v>0.48384439359267734</v>
      </c>
      <c r="V400" s="11" t="str">
        <f>tbl_financials[[#This Row],[Month_Name]] &amp; "_" &amp; tbl_financials[[#This Row],[Year]]</f>
        <v>November_2014</v>
      </c>
      <c r="W400" s="11" t="str">
        <f>tbl_financials[[#This Row],[Month_Name]] &amp; "_" &amp; (tbl_financials[[#This Row],[Year]]-1)</f>
        <v>November_2013</v>
      </c>
      <c r="X40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-0.95367619047619046</v>
      </c>
    </row>
    <row r="401" spans="1:24" x14ac:dyDescent="0.3">
      <c r="A401" t="s">
        <v>5</v>
      </c>
      <c r="B401" t="s">
        <v>16</v>
      </c>
      <c r="C401" t="s">
        <v>37</v>
      </c>
      <c r="D401" t="s">
        <v>40</v>
      </c>
      <c r="E401" s="9">
        <v>711</v>
      </c>
      <c r="F401" s="7">
        <v>260</v>
      </c>
      <c r="G401" s="7">
        <v>15</v>
      </c>
      <c r="H401" s="7">
        <v>10665</v>
      </c>
      <c r="I401" s="5">
        <v>853.2</v>
      </c>
      <c r="J401" s="5">
        <v>9811.7999999999993</v>
      </c>
      <c r="K401" s="7">
        <v>7110</v>
      </c>
      <c r="L401" s="5">
        <v>2701.7999999999902</v>
      </c>
      <c r="M401" s="1">
        <v>41974</v>
      </c>
      <c r="N401">
        <v>12</v>
      </c>
      <c r="O401" t="s">
        <v>29</v>
      </c>
      <c r="P401" t="s">
        <v>12</v>
      </c>
      <c r="Q401" s="5">
        <f>tbl_financials[[#This Row],[Net_Sales]]</f>
        <v>9811.7999999999993</v>
      </c>
      <c r="R401" s="5">
        <f>ROUND(tbl_financials[[#This Row],[Revenue]]*(0.12+MOD(ROW(),7)/100),2)</f>
        <v>1373.65</v>
      </c>
      <c r="S401" s="7">
        <f t="shared" si="6"/>
        <v>4431</v>
      </c>
      <c r="T401" s="5">
        <f>tbl_financials[[#This Row],[Gross_Profit]]-tbl_financials[[#This Row],[Operating_Expenses]]+tbl_financials[[#This Row],[Other_Income]]</f>
        <v>5759.1499999999905</v>
      </c>
      <c r="U401" s="11">
        <f>IF(tbl_financials[[#This Row],[Revenue]]=0,0,tbl_financials[[#This Row],[Net_Profit]]/tbl_financials[[#This Row],[Revenue]])</f>
        <v>0.5869616176440603</v>
      </c>
      <c r="V401" s="11" t="str">
        <f>tbl_financials[[#This Row],[Month_Name]] &amp; "_" &amp; tbl_financials[[#This Row],[Year]]</f>
        <v>December_2014</v>
      </c>
      <c r="W401" s="11" t="str">
        <f>tbl_financials[[#This Row],[Month_Name]] &amp; "_" &amp; (tbl_financials[[#This Row],[Year]]-1)</f>
        <v>December_2013</v>
      </c>
      <c r="X40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-0.69604089219330856</v>
      </c>
    </row>
    <row r="402" spans="1:24" x14ac:dyDescent="0.3">
      <c r="A402" t="s">
        <v>8</v>
      </c>
      <c r="B402" t="s">
        <v>17</v>
      </c>
      <c r="C402" t="s">
        <v>37</v>
      </c>
      <c r="D402" t="s">
        <v>40</v>
      </c>
      <c r="E402" s="9">
        <v>1375</v>
      </c>
      <c r="F402" s="7">
        <v>260</v>
      </c>
      <c r="G402" s="7">
        <v>12</v>
      </c>
      <c r="H402" s="7">
        <v>16500</v>
      </c>
      <c r="I402" s="5">
        <v>1320</v>
      </c>
      <c r="J402" s="5">
        <v>15180</v>
      </c>
      <c r="K402" s="7">
        <v>4125</v>
      </c>
      <c r="L402" s="5">
        <v>11055</v>
      </c>
      <c r="M402" s="1">
        <v>41609</v>
      </c>
      <c r="N402">
        <v>12</v>
      </c>
      <c r="O402" t="s">
        <v>29</v>
      </c>
      <c r="P402" t="s">
        <v>11</v>
      </c>
      <c r="Q402" s="5">
        <f>tbl_financials[[#This Row],[Net_Sales]]</f>
        <v>15180</v>
      </c>
      <c r="R402" s="5">
        <f>ROUND(tbl_financials[[#This Row],[Revenue]]*(0.12+MOD(ROW(),7)/100),2)</f>
        <v>2277</v>
      </c>
      <c r="S402" s="7">
        <f t="shared" si="6"/>
        <v>4462</v>
      </c>
      <c r="T402" s="5">
        <f>tbl_financials[[#This Row],[Gross_Profit]]-tbl_financials[[#This Row],[Operating_Expenses]]+tbl_financials[[#This Row],[Other_Income]]</f>
        <v>13240</v>
      </c>
      <c r="U402" s="11">
        <f>IF(tbl_financials[[#This Row],[Revenue]]=0,0,tbl_financials[[#This Row],[Net_Profit]]/tbl_financials[[#This Row],[Revenue]])</f>
        <v>0.87220026350461133</v>
      </c>
      <c r="V402" s="11" t="str">
        <f>tbl_financials[[#This Row],[Month_Name]] &amp; "_" &amp; tbl_financials[[#This Row],[Year]]</f>
        <v>December_2013</v>
      </c>
      <c r="W402" s="11" t="str">
        <f>tbl_financials[[#This Row],[Month_Name]] &amp; "_" &amp; (tbl_financials[[#This Row],[Year]]-1)</f>
        <v>December_2012</v>
      </c>
      <c r="X40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03" spans="1:24" x14ac:dyDescent="0.3">
      <c r="A403" t="s">
        <v>4</v>
      </c>
      <c r="B403" t="s">
        <v>17</v>
      </c>
      <c r="C403" t="s">
        <v>37</v>
      </c>
      <c r="D403" t="s">
        <v>40</v>
      </c>
      <c r="E403" s="9">
        <v>635</v>
      </c>
      <c r="F403" s="7">
        <v>260</v>
      </c>
      <c r="G403" s="7">
        <v>300</v>
      </c>
      <c r="H403" s="7">
        <v>190500</v>
      </c>
      <c r="I403" s="5">
        <v>15240</v>
      </c>
      <c r="J403" s="5">
        <v>175260</v>
      </c>
      <c r="K403" s="7">
        <v>158750</v>
      </c>
      <c r="L403" s="5">
        <v>16510</v>
      </c>
      <c r="M403" s="1">
        <v>41974</v>
      </c>
      <c r="N403">
        <v>12</v>
      </c>
      <c r="O403" t="s">
        <v>29</v>
      </c>
      <c r="P403" t="s">
        <v>12</v>
      </c>
      <c r="Q403" s="5">
        <f>tbl_financials[[#This Row],[Net_Sales]]</f>
        <v>175260</v>
      </c>
      <c r="R403" s="5">
        <f>ROUND(tbl_financials[[#This Row],[Revenue]]*(0.12+MOD(ROW(),7)/100),2)</f>
        <v>28041.599999999999</v>
      </c>
      <c r="S403" s="7">
        <f t="shared" si="6"/>
        <v>4493</v>
      </c>
      <c r="T403" s="5">
        <f>tbl_financials[[#This Row],[Gross_Profit]]-tbl_financials[[#This Row],[Operating_Expenses]]+tbl_financials[[#This Row],[Other_Income]]</f>
        <v>-7038.5999999999985</v>
      </c>
      <c r="U403" s="11">
        <f>IF(tbl_financials[[#This Row],[Revenue]]=0,0,tbl_financials[[#This Row],[Net_Profit]]/tbl_financials[[#This Row],[Revenue]])</f>
        <v>-4.0160903800068461E-2</v>
      </c>
      <c r="V403" s="11" t="str">
        <f>tbl_financials[[#This Row],[Month_Name]] &amp; "_" &amp; tbl_financials[[#This Row],[Year]]</f>
        <v>December_2014</v>
      </c>
      <c r="W403" s="11" t="str">
        <f>tbl_financials[[#This Row],[Month_Name]] &amp; "_" &amp; (tbl_financials[[#This Row],[Year]]-1)</f>
        <v>December_2013</v>
      </c>
      <c r="X40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4.4293680297397771</v>
      </c>
    </row>
    <row r="404" spans="1:24" x14ac:dyDescent="0.3">
      <c r="A404" t="s">
        <v>7</v>
      </c>
      <c r="B404" t="s">
        <v>14</v>
      </c>
      <c r="C404" t="s">
        <v>36</v>
      </c>
      <c r="D404" t="s">
        <v>40</v>
      </c>
      <c r="E404" s="9">
        <v>436.5</v>
      </c>
      <c r="F404" s="7">
        <v>250</v>
      </c>
      <c r="G404" s="7">
        <v>20</v>
      </c>
      <c r="H404" s="7">
        <v>8730</v>
      </c>
      <c r="I404" s="5">
        <v>698.4</v>
      </c>
      <c r="J404" s="5">
        <v>8031.5999999999904</v>
      </c>
      <c r="K404" s="7">
        <v>4365</v>
      </c>
      <c r="L404" s="5">
        <v>3666.5999999999899</v>
      </c>
      <c r="M404" s="1">
        <v>41821</v>
      </c>
      <c r="N404">
        <v>7</v>
      </c>
      <c r="O404" t="s">
        <v>24</v>
      </c>
      <c r="P404" t="s">
        <v>12</v>
      </c>
      <c r="Q404" s="5">
        <f>tbl_financials[[#This Row],[Net_Sales]]</f>
        <v>8031.5999999999904</v>
      </c>
      <c r="R404" s="5">
        <f>ROUND(tbl_financials[[#This Row],[Revenue]]*(0.12+MOD(ROW(),7)/100),2)</f>
        <v>1365.37</v>
      </c>
      <c r="S404" s="7">
        <f t="shared" si="6"/>
        <v>4524</v>
      </c>
      <c r="T404" s="5">
        <f>tbl_financials[[#This Row],[Gross_Profit]]-tbl_financials[[#This Row],[Operating_Expenses]]+tbl_financials[[#This Row],[Other_Income]]</f>
        <v>6825.2299999999905</v>
      </c>
      <c r="U404" s="11">
        <f>IF(tbl_financials[[#This Row],[Revenue]]=0,0,tbl_financials[[#This Row],[Net_Profit]]/tbl_financials[[#This Row],[Revenue]])</f>
        <v>0.84979705164599817</v>
      </c>
      <c r="V404" s="11" t="str">
        <f>tbl_financials[[#This Row],[Month_Name]] &amp; "_" &amp; tbl_financials[[#This Row],[Year]]</f>
        <v>July_2014</v>
      </c>
      <c r="W404" s="11" t="str">
        <f>tbl_financials[[#This Row],[Month_Name]] &amp; "_" &amp; (tbl_financials[[#This Row],[Year]]-1)</f>
        <v>July_2013</v>
      </c>
      <c r="X40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05" spans="1:24" x14ac:dyDescent="0.3">
      <c r="A405" t="s">
        <v>4</v>
      </c>
      <c r="B405" t="s">
        <v>13</v>
      </c>
      <c r="C405" t="s">
        <v>32</v>
      </c>
      <c r="D405" t="s">
        <v>40</v>
      </c>
      <c r="E405" s="9">
        <v>1094</v>
      </c>
      <c r="F405" s="7">
        <v>3</v>
      </c>
      <c r="G405" s="7">
        <v>300</v>
      </c>
      <c r="H405" s="7">
        <v>328200</v>
      </c>
      <c r="I405" s="5">
        <v>29538</v>
      </c>
      <c r="J405" s="5">
        <v>298662</v>
      </c>
      <c r="K405" s="7">
        <v>273500</v>
      </c>
      <c r="L405" s="5">
        <v>25162</v>
      </c>
      <c r="M405" s="1">
        <v>41791</v>
      </c>
      <c r="N405">
        <v>6</v>
      </c>
      <c r="O405" t="s">
        <v>23</v>
      </c>
      <c r="P405" t="s">
        <v>12</v>
      </c>
      <c r="Q405" s="5">
        <f>tbl_financials[[#This Row],[Net_Sales]]</f>
        <v>298662</v>
      </c>
      <c r="R405" s="5">
        <f>ROUND(tbl_financials[[#This Row],[Revenue]]*(0.12+MOD(ROW(),7)/100),2)</f>
        <v>53759.16</v>
      </c>
      <c r="S405" s="7">
        <f t="shared" si="6"/>
        <v>4555</v>
      </c>
      <c r="T405" s="5">
        <f>tbl_financials[[#This Row],[Gross_Profit]]-tbl_financials[[#This Row],[Operating_Expenses]]+tbl_financials[[#This Row],[Other_Income]]</f>
        <v>-24042.160000000003</v>
      </c>
      <c r="U405" s="11">
        <f>IF(tbl_financials[[#This Row],[Revenue]]=0,0,tbl_financials[[#This Row],[Net_Profit]]/tbl_financials[[#This Row],[Revenue]])</f>
        <v>-8.0499561377075105E-2</v>
      </c>
      <c r="V405" s="11" t="str">
        <f>tbl_financials[[#This Row],[Month_Name]] &amp; "_" &amp; tbl_financials[[#This Row],[Year]]</f>
        <v>June_2014</v>
      </c>
      <c r="W405" s="11" t="str">
        <f>tbl_financials[[#This Row],[Month_Name]] &amp; "_" &amp; (tbl_financials[[#This Row],[Year]]-1)</f>
        <v>June_2013</v>
      </c>
      <c r="X40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06" spans="1:24" x14ac:dyDescent="0.3">
      <c r="A406" t="s">
        <v>8</v>
      </c>
      <c r="B406" t="s">
        <v>17</v>
      </c>
      <c r="C406" t="s">
        <v>32</v>
      </c>
      <c r="D406" t="s">
        <v>40</v>
      </c>
      <c r="E406" s="9">
        <v>367</v>
      </c>
      <c r="F406" s="7">
        <v>3</v>
      </c>
      <c r="G406" s="7">
        <v>12</v>
      </c>
      <c r="H406" s="7">
        <v>4404</v>
      </c>
      <c r="I406" s="5">
        <v>396.36</v>
      </c>
      <c r="J406" s="5">
        <v>4007.64</v>
      </c>
      <c r="K406" s="7">
        <v>1101</v>
      </c>
      <c r="L406" s="5">
        <v>2906.64</v>
      </c>
      <c r="M406" s="1">
        <v>41548</v>
      </c>
      <c r="N406">
        <v>10</v>
      </c>
      <c r="O406" t="s">
        <v>27</v>
      </c>
      <c r="P406" t="s">
        <v>11</v>
      </c>
      <c r="Q406" s="5">
        <f>tbl_financials[[#This Row],[Net_Sales]]</f>
        <v>4007.64</v>
      </c>
      <c r="R406" s="5">
        <f>ROUND(tbl_financials[[#This Row],[Revenue]]*(0.12+MOD(ROW(),7)/100),2)</f>
        <v>480.92</v>
      </c>
      <c r="S406" s="7">
        <f t="shared" si="6"/>
        <v>4586</v>
      </c>
      <c r="T406" s="5">
        <f>tbl_financials[[#This Row],[Gross_Profit]]-tbl_financials[[#This Row],[Operating_Expenses]]+tbl_financials[[#This Row],[Other_Income]]</f>
        <v>7011.7199999999993</v>
      </c>
      <c r="U406" s="11">
        <f>IF(tbl_financials[[#This Row],[Revenue]]=0,0,tbl_financials[[#This Row],[Net_Profit]]/tbl_financials[[#This Row],[Revenue]])</f>
        <v>1.7495882863730274</v>
      </c>
      <c r="V406" s="11" t="str">
        <f>tbl_financials[[#This Row],[Month_Name]] &amp; "_" &amp; tbl_financials[[#This Row],[Year]]</f>
        <v>October_2013</v>
      </c>
      <c r="W406" s="11" t="str">
        <f>tbl_financials[[#This Row],[Month_Name]] &amp; "_" &amp; (tbl_financials[[#This Row],[Year]]-1)</f>
        <v>October_2012</v>
      </c>
      <c r="X40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07" spans="1:24" x14ac:dyDescent="0.3">
      <c r="A407" t="s">
        <v>4</v>
      </c>
      <c r="B407" t="s">
        <v>13</v>
      </c>
      <c r="C407" t="s">
        <v>33</v>
      </c>
      <c r="D407" t="s">
        <v>40</v>
      </c>
      <c r="E407" s="9">
        <v>3802.5</v>
      </c>
      <c r="F407" s="7">
        <v>5</v>
      </c>
      <c r="G407" s="7">
        <v>300</v>
      </c>
      <c r="H407" s="7">
        <v>1140750</v>
      </c>
      <c r="I407" s="5">
        <v>102667.5</v>
      </c>
      <c r="J407" s="5">
        <v>1038082.5</v>
      </c>
      <c r="K407" s="7">
        <v>950625</v>
      </c>
      <c r="L407" s="5">
        <v>87457.5</v>
      </c>
      <c r="M407" s="1">
        <v>41730</v>
      </c>
      <c r="N407">
        <v>4</v>
      </c>
      <c r="O407" t="s">
        <v>21</v>
      </c>
      <c r="P407" t="s">
        <v>12</v>
      </c>
      <c r="Q407" s="5">
        <f>tbl_financials[[#This Row],[Net_Sales]]</f>
        <v>1038082.5</v>
      </c>
      <c r="R407" s="5">
        <f>ROUND(tbl_financials[[#This Row],[Revenue]]*(0.12+MOD(ROW(),7)/100),2)</f>
        <v>134950.73000000001</v>
      </c>
      <c r="S407" s="7">
        <f t="shared" si="6"/>
        <v>4617</v>
      </c>
      <c r="T407" s="5">
        <f>tbl_financials[[#This Row],[Gross_Profit]]-tbl_financials[[#This Row],[Operating_Expenses]]+tbl_financials[[#This Row],[Other_Income]]</f>
        <v>-42876.23000000001</v>
      </c>
      <c r="U407" s="11">
        <f>IF(tbl_financials[[#This Row],[Revenue]]=0,0,tbl_financials[[#This Row],[Net_Profit]]/tbl_financials[[#This Row],[Revenue]])</f>
        <v>-4.1303297184953999E-2</v>
      </c>
      <c r="V407" s="11" t="str">
        <f>tbl_financials[[#This Row],[Month_Name]] &amp; "_" &amp; tbl_financials[[#This Row],[Year]]</f>
        <v>April_2014</v>
      </c>
      <c r="W407" s="11" t="str">
        <f>tbl_financials[[#This Row],[Month_Name]] &amp; "_" &amp; (tbl_financials[[#This Row],[Year]]-1)</f>
        <v>April_2013</v>
      </c>
      <c r="X40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08" spans="1:24" x14ac:dyDescent="0.3">
      <c r="A408" t="s">
        <v>7</v>
      </c>
      <c r="B408" t="s">
        <v>15</v>
      </c>
      <c r="C408" t="s">
        <v>33</v>
      </c>
      <c r="D408" t="s">
        <v>40</v>
      </c>
      <c r="E408" s="9">
        <v>1666</v>
      </c>
      <c r="F408" s="7">
        <v>5</v>
      </c>
      <c r="G408" s="7">
        <v>350</v>
      </c>
      <c r="H408" s="7">
        <v>583100</v>
      </c>
      <c r="I408" s="5">
        <v>52479</v>
      </c>
      <c r="J408" s="5">
        <v>530621</v>
      </c>
      <c r="K408" s="7">
        <v>433160</v>
      </c>
      <c r="L408" s="5">
        <v>97461</v>
      </c>
      <c r="M408" s="1">
        <v>41760</v>
      </c>
      <c r="N408">
        <v>5</v>
      </c>
      <c r="O408" t="s">
        <v>22</v>
      </c>
      <c r="P408" t="s">
        <v>12</v>
      </c>
      <c r="Q408" s="5">
        <f>tbl_financials[[#This Row],[Net_Sales]]</f>
        <v>530621</v>
      </c>
      <c r="R408" s="5">
        <f>ROUND(tbl_financials[[#This Row],[Revenue]]*(0.12+MOD(ROW(),7)/100),2)</f>
        <v>74286.94</v>
      </c>
      <c r="S408" s="7">
        <f t="shared" si="6"/>
        <v>4648</v>
      </c>
      <c r="T408" s="5">
        <f>tbl_financials[[#This Row],[Gross_Profit]]-tbl_financials[[#This Row],[Operating_Expenses]]+tbl_financials[[#This Row],[Other_Income]]</f>
        <v>27822.059999999998</v>
      </c>
      <c r="U408" s="11">
        <f>IF(tbl_financials[[#This Row],[Revenue]]=0,0,tbl_financials[[#This Row],[Net_Profit]]/tbl_financials[[#This Row],[Revenue]])</f>
        <v>5.2433017162909115E-2</v>
      </c>
      <c r="V408" s="11" t="str">
        <f>tbl_financials[[#This Row],[Month_Name]] &amp; "_" &amp; tbl_financials[[#This Row],[Year]]</f>
        <v>May_2014</v>
      </c>
      <c r="W408" s="11" t="str">
        <f>tbl_financials[[#This Row],[Month_Name]] &amp; "_" &amp; (tbl_financials[[#This Row],[Year]]-1)</f>
        <v>May_2013</v>
      </c>
      <c r="X40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09" spans="1:24" x14ac:dyDescent="0.3">
      <c r="A409" t="s">
        <v>4</v>
      </c>
      <c r="B409" t="s">
        <v>15</v>
      </c>
      <c r="C409" t="s">
        <v>33</v>
      </c>
      <c r="D409" t="s">
        <v>40</v>
      </c>
      <c r="E409" s="9">
        <v>322</v>
      </c>
      <c r="F409" s="7">
        <v>5</v>
      </c>
      <c r="G409" s="7">
        <v>300</v>
      </c>
      <c r="H409" s="7">
        <v>96600</v>
      </c>
      <c r="I409" s="5">
        <v>8694</v>
      </c>
      <c r="J409" s="5">
        <v>87906</v>
      </c>
      <c r="K409" s="7">
        <v>80500</v>
      </c>
      <c r="L409" s="5">
        <v>7406</v>
      </c>
      <c r="M409" s="1">
        <v>41518</v>
      </c>
      <c r="N409">
        <v>9</v>
      </c>
      <c r="O409" t="s">
        <v>26</v>
      </c>
      <c r="P409" t="s">
        <v>11</v>
      </c>
      <c r="Q409" s="5">
        <f>tbl_financials[[#This Row],[Net_Sales]]</f>
        <v>87906</v>
      </c>
      <c r="R409" s="5">
        <f>ROUND(tbl_financials[[#This Row],[Revenue]]*(0.12+MOD(ROW(),7)/100),2)</f>
        <v>13185.9</v>
      </c>
      <c r="S409" s="7">
        <f t="shared" si="6"/>
        <v>4679</v>
      </c>
      <c r="T409" s="5">
        <f>tbl_financials[[#This Row],[Gross_Profit]]-tbl_financials[[#This Row],[Operating_Expenses]]+tbl_financials[[#This Row],[Other_Income]]</f>
        <v>-1100.8999999999996</v>
      </c>
      <c r="U409" s="11">
        <f>IF(tbl_financials[[#This Row],[Revenue]]=0,0,tbl_financials[[#This Row],[Net_Profit]]/tbl_financials[[#This Row],[Revenue]])</f>
        <v>-1.2523604759629599E-2</v>
      </c>
      <c r="V409" s="11" t="str">
        <f>tbl_financials[[#This Row],[Month_Name]] &amp; "_" &amp; tbl_financials[[#This Row],[Year]]</f>
        <v>September_2013</v>
      </c>
      <c r="W409" s="11" t="str">
        <f>tbl_financials[[#This Row],[Month_Name]] &amp; "_" &amp; (tbl_financials[[#This Row],[Year]]-1)</f>
        <v>September_2012</v>
      </c>
      <c r="X40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10" spans="1:24" x14ac:dyDescent="0.3">
      <c r="A410" t="s">
        <v>8</v>
      </c>
      <c r="B410" t="s">
        <v>13</v>
      </c>
      <c r="C410" t="s">
        <v>33</v>
      </c>
      <c r="D410" t="s">
        <v>40</v>
      </c>
      <c r="E410" s="9">
        <v>2321</v>
      </c>
      <c r="F410" s="7">
        <v>5</v>
      </c>
      <c r="G410" s="7">
        <v>12</v>
      </c>
      <c r="H410" s="7">
        <v>27852</v>
      </c>
      <c r="I410" s="5">
        <v>2506.6799999999998</v>
      </c>
      <c r="J410" s="5">
        <v>25345.32</v>
      </c>
      <c r="K410" s="7">
        <v>6963</v>
      </c>
      <c r="L410" s="5">
        <v>18382.32</v>
      </c>
      <c r="M410" s="1">
        <v>41944</v>
      </c>
      <c r="N410">
        <v>11</v>
      </c>
      <c r="O410" t="s">
        <v>28</v>
      </c>
      <c r="P410" t="s">
        <v>12</v>
      </c>
      <c r="Q410" s="5">
        <f>tbl_financials[[#This Row],[Net_Sales]]</f>
        <v>25345.32</v>
      </c>
      <c r="R410" s="5">
        <f>ROUND(tbl_financials[[#This Row],[Revenue]]*(0.12+MOD(ROW(),7)/100),2)</f>
        <v>4055.25</v>
      </c>
      <c r="S410" s="7">
        <f t="shared" si="6"/>
        <v>4710</v>
      </c>
      <c r="T410" s="5">
        <f>tbl_financials[[#This Row],[Gross_Profit]]-tbl_financials[[#This Row],[Operating_Expenses]]+tbl_financials[[#This Row],[Other_Income]]</f>
        <v>19037.07</v>
      </c>
      <c r="U410" s="11">
        <f>IF(tbl_financials[[#This Row],[Revenue]]=0,0,tbl_financials[[#This Row],[Net_Profit]]/tbl_financials[[#This Row],[Revenue]])</f>
        <v>0.75110789684249402</v>
      </c>
      <c r="V410" s="11" t="str">
        <f>tbl_financials[[#This Row],[Month_Name]] &amp; "_" &amp; tbl_financials[[#This Row],[Year]]</f>
        <v>November_2014</v>
      </c>
      <c r="W410" s="11" t="str">
        <f>tbl_financials[[#This Row],[Month_Name]] &amp; "_" &amp; (tbl_financials[[#This Row],[Year]]-1)</f>
        <v>November_2013</v>
      </c>
      <c r="X41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-0.95802017391304362</v>
      </c>
    </row>
    <row r="411" spans="1:24" x14ac:dyDescent="0.3">
      <c r="A411" t="s">
        <v>6</v>
      </c>
      <c r="B411" t="s">
        <v>15</v>
      </c>
      <c r="C411" t="s">
        <v>33</v>
      </c>
      <c r="D411" t="s">
        <v>40</v>
      </c>
      <c r="E411" s="9">
        <v>1857</v>
      </c>
      <c r="F411" s="7">
        <v>5</v>
      </c>
      <c r="G411" s="7">
        <v>125</v>
      </c>
      <c r="H411" s="7">
        <v>232125</v>
      </c>
      <c r="I411" s="5">
        <v>20891.25</v>
      </c>
      <c r="J411" s="5">
        <v>211233.75</v>
      </c>
      <c r="K411" s="7">
        <v>222840</v>
      </c>
      <c r="L411" s="5">
        <v>-11606.25</v>
      </c>
      <c r="M411" s="1">
        <v>41579</v>
      </c>
      <c r="N411">
        <v>11</v>
      </c>
      <c r="O411" t="s">
        <v>28</v>
      </c>
      <c r="P411" t="s">
        <v>11</v>
      </c>
      <c r="Q411" s="5">
        <f>tbl_financials[[#This Row],[Net_Sales]]</f>
        <v>211233.75</v>
      </c>
      <c r="R411" s="5">
        <f>ROUND(tbl_financials[[#This Row],[Revenue]]*(0.12+MOD(ROW(),7)/100),2)</f>
        <v>35909.74</v>
      </c>
      <c r="S411" s="7">
        <f t="shared" si="6"/>
        <v>4741</v>
      </c>
      <c r="T411" s="5">
        <f>tbl_financials[[#This Row],[Gross_Profit]]-tbl_financials[[#This Row],[Operating_Expenses]]+tbl_financials[[#This Row],[Other_Income]]</f>
        <v>-42774.99</v>
      </c>
      <c r="U411" s="11">
        <f>IF(tbl_financials[[#This Row],[Revenue]]=0,0,tbl_financials[[#This Row],[Net_Profit]]/tbl_financials[[#This Row],[Revenue]])</f>
        <v>-0.20250073674306307</v>
      </c>
      <c r="V411" s="11" t="str">
        <f>tbl_financials[[#This Row],[Month_Name]] &amp; "_" &amp; tbl_financials[[#This Row],[Year]]</f>
        <v>November_2013</v>
      </c>
      <c r="W411" s="11" t="str">
        <f>tbl_financials[[#This Row],[Month_Name]] &amp; "_" &amp; (tbl_financials[[#This Row],[Year]]-1)</f>
        <v>November_2012</v>
      </c>
      <c r="X41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12" spans="1:24" x14ac:dyDescent="0.3">
      <c r="A412" t="s">
        <v>7</v>
      </c>
      <c r="B412" t="s">
        <v>13</v>
      </c>
      <c r="C412" t="s">
        <v>33</v>
      </c>
      <c r="D412" t="s">
        <v>40</v>
      </c>
      <c r="E412" s="9">
        <v>1611</v>
      </c>
      <c r="F412" s="7">
        <v>5</v>
      </c>
      <c r="G412" s="7">
        <v>7</v>
      </c>
      <c r="H412" s="7">
        <v>11277</v>
      </c>
      <c r="I412" s="5">
        <v>1014.93</v>
      </c>
      <c r="J412" s="5">
        <v>10262.07</v>
      </c>
      <c r="K412" s="7">
        <v>8055</v>
      </c>
      <c r="L412" s="5">
        <v>2207.0699999999902</v>
      </c>
      <c r="M412" s="1">
        <v>41609</v>
      </c>
      <c r="N412">
        <v>12</v>
      </c>
      <c r="O412" t="s">
        <v>29</v>
      </c>
      <c r="P412" t="s">
        <v>11</v>
      </c>
      <c r="Q412" s="5">
        <f>tbl_financials[[#This Row],[Net_Sales]]</f>
        <v>10262.07</v>
      </c>
      <c r="R412" s="5">
        <f>ROUND(tbl_financials[[#This Row],[Revenue]]*(0.12+MOD(ROW(),7)/100),2)</f>
        <v>1847.17</v>
      </c>
      <c r="S412" s="7">
        <f t="shared" si="6"/>
        <v>4772</v>
      </c>
      <c r="T412" s="5">
        <f>tbl_financials[[#This Row],[Gross_Profit]]-tbl_financials[[#This Row],[Operating_Expenses]]+tbl_financials[[#This Row],[Other_Income]]</f>
        <v>5131.8999999999905</v>
      </c>
      <c r="U412" s="11">
        <f>IF(tbl_financials[[#This Row],[Revenue]]=0,0,tbl_financials[[#This Row],[Net_Profit]]/tbl_financials[[#This Row],[Revenue]])</f>
        <v>0.50008429098612572</v>
      </c>
      <c r="V412" s="11" t="str">
        <f>tbl_financials[[#This Row],[Month_Name]] &amp; "_" &amp; tbl_financials[[#This Row],[Year]]</f>
        <v>December_2013</v>
      </c>
      <c r="W412" s="11" t="str">
        <f>tbl_financials[[#This Row],[Month_Name]] &amp; "_" &amp; (tbl_financials[[#This Row],[Year]]-1)</f>
        <v>December_2012</v>
      </c>
      <c r="X41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13" spans="1:24" x14ac:dyDescent="0.3">
      <c r="A413" t="s">
        <v>6</v>
      </c>
      <c r="B413" t="s">
        <v>14</v>
      </c>
      <c r="C413" t="s">
        <v>33</v>
      </c>
      <c r="D413" t="s">
        <v>40</v>
      </c>
      <c r="E413" s="9">
        <v>2797</v>
      </c>
      <c r="F413" s="7">
        <v>5</v>
      </c>
      <c r="G413" s="7">
        <v>125</v>
      </c>
      <c r="H413" s="7">
        <v>349625</v>
      </c>
      <c r="I413" s="5">
        <v>31466.25</v>
      </c>
      <c r="J413" s="5">
        <v>318158.75</v>
      </c>
      <c r="K413" s="7">
        <v>335640</v>
      </c>
      <c r="L413" s="5">
        <v>-17481.25</v>
      </c>
      <c r="M413" s="1">
        <v>41974</v>
      </c>
      <c r="N413">
        <v>12</v>
      </c>
      <c r="O413" t="s">
        <v>29</v>
      </c>
      <c r="P413" t="s">
        <v>12</v>
      </c>
      <c r="Q413" s="5">
        <f>tbl_financials[[#This Row],[Net_Sales]]</f>
        <v>318158.75</v>
      </c>
      <c r="R413" s="5">
        <f>ROUND(tbl_financials[[#This Row],[Revenue]]*(0.12+MOD(ROW(),7)/100),2)</f>
        <v>38179.050000000003</v>
      </c>
      <c r="S413" s="7">
        <f t="shared" si="6"/>
        <v>4803</v>
      </c>
      <c r="T413" s="5">
        <f>tbl_financials[[#This Row],[Gross_Profit]]-tbl_financials[[#This Row],[Operating_Expenses]]+tbl_financials[[#This Row],[Other_Income]]</f>
        <v>-50857.3</v>
      </c>
      <c r="U413" s="11">
        <f>IF(tbl_financials[[#This Row],[Revenue]]=0,0,tbl_financials[[#This Row],[Net_Profit]]/tbl_financials[[#This Row],[Revenue]])</f>
        <v>-0.15984881761070535</v>
      </c>
      <c r="V413" s="11" t="str">
        <f>tbl_financials[[#This Row],[Month_Name]] &amp; "_" &amp; tbl_financials[[#This Row],[Year]]</f>
        <v>December_2014</v>
      </c>
      <c r="W413" s="11" t="str">
        <f>tbl_financials[[#This Row],[Month_Name]] &amp; "_" &amp; (tbl_financials[[#This Row],[Year]]-1)</f>
        <v>December_2013</v>
      </c>
      <c r="X41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8.8562190210656748</v>
      </c>
    </row>
    <row r="414" spans="1:24" x14ac:dyDescent="0.3">
      <c r="A414" t="s">
        <v>4</v>
      </c>
      <c r="B414" t="s">
        <v>16</v>
      </c>
      <c r="C414" t="s">
        <v>33</v>
      </c>
      <c r="D414" t="s">
        <v>40</v>
      </c>
      <c r="E414" s="9">
        <v>334</v>
      </c>
      <c r="F414" s="7">
        <v>5</v>
      </c>
      <c r="G414" s="7">
        <v>300</v>
      </c>
      <c r="H414" s="7">
        <v>100200</v>
      </c>
      <c r="I414" s="5">
        <v>9018</v>
      </c>
      <c r="J414" s="5">
        <v>91182</v>
      </c>
      <c r="K414" s="7">
        <v>83500</v>
      </c>
      <c r="L414" s="5">
        <v>7682</v>
      </c>
      <c r="M414" s="1">
        <v>41609</v>
      </c>
      <c r="N414">
        <v>12</v>
      </c>
      <c r="O414" t="s">
        <v>29</v>
      </c>
      <c r="P414" t="s">
        <v>11</v>
      </c>
      <c r="Q414" s="5">
        <f>tbl_financials[[#This Row],[Net_Sales]]</f>
        <v>91182</v>
      </c>
      <c r="R414" s="5">
        <f>ROUND(tbl_financials[[#This Row],[Revenue]]*(0.12+MOD(ROW(),7)/100),2)</f>
        <v>11853.66</v>
      </c>
      <c r="S414" s="7">
        <f t="shared" si="6"/>
        <v>4834</v>
      </c>
      <c r="T414" s="5">
        <f>tbl_financials[[#This Row],[Gross_Profit]]-tbl_financials[[#This Row],[Operating_Expenses]]+tbl_financials[[#This Row],[Other_Income]]</f>
        <v>662.34000000000015</v>
      </c>
      <c r="U414" s="11">
        <f>IF(tbl_financials[[#This Row],[Revenue]]=0,0,tbl_financials[[#This Row],[Net_Profit]]/tbl_financials[[#This Row],[Revenue]])</f>
        <v>7.2639336711193018E-3</v>
      </c>
      <c r="V414" s="11" t="str">
        <f>tbl_financials[[#This Row],[Month_Name]] &amp; "_" &amp; tbl_financials[[#This Row],[Year]]</f>
        <v>December_2013</v>
      </c>
      <c r="W414" s="11" t="str">
        <f>tbl_financials[[#This Row],[Month_Name]] &amp; "_" &amp; (tbl_financials[[#This Row],[Year]]-1)</f>
        <v>December_2012</v>
      </c>
      <c r="X41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15" spans="1:24" x14ac:dyDescent="0.3">
      <c r="A415" t="s">
        <v>4</v>
      </c>
      <c r="B415" t="s">
        <v>17</v>
      </c>
      <c r="C415" t="s">
        <v>34</v>
      </c>
      <c r="D415" t="s">
        <v>40</v>
      </c>
      <c r="E415" s="9">
        <v>2565</v>
      </c>
      <c r="F415" s="7">
        <v>10</v>
      </c>
      <c r="G415" s="7">
        <v>300</v>
      </c>
      <c r="H415" s="7">
        <v>769500</v>
      </c>
      <c r="I415" s="5">
        <v>69255</v>
      </c>
      <c r="J415" s="5">
        <v>700245</v>
      </c>
      <c r="K415" s="7">
        <v>641250</v>
      </c>
      <c r="L415" s="5">
        <v>58995</v>
      </c>
      <c r="M415" s="1">
        <v>41640</v>
      </c>
      <c r="N415">
        <v>1</v>
      </c>
      <c r="O415" t="s">
        <v>18</v>
      </c>
      <c r="P415" t="s">
        <v>12</v>
      </c>
      <c r="Q415" s="5">
        <f>tbl_financials[[#This Row],[Net_Sales]]</f>
        <v>700245</v>
      </c>
      <c r="R415" s="5">
        <f>ROUND(tbl_financials[[#This Row],[Revenue]]*(0.12+MOD(ROW(),7)/100),2)</f>
        <v>98034.3</v>
      </c>
      <c r="S415" s="7">
        <f t="shared" si="6"/>
        <v>4865</v>
      </c>
      <c r="T415" s="5">
        <f>tbl_financials[[#This Row],[Gross_Profit]]-tbl_financials[[#This Row],[Operating_Expenses]]+tbl_financials[[#This Row],[Other_Income]]</f>
        <v>-34174.300000000003</v>
      </c>
      <c r="U415" s="11">
        <f>IF(tbl_financials[[#This Row],[Revenue]]=0,0,tbl_financials[[#This Row],[Net_Profit]]/tbl_financials[[#This Row],[Revenue]])</f>
        <v>-4.8803347399838631E-2</v>
      </c>
      <c r="V415" s="11" t="str">
        <f>tbl_financials[[#This Row],[Month_Name]] &amp; "_" &amp; tbl_financials[[#This Row],[Year]]</f>
        <v>January_2014</v>
      </c>
      <c r="W415" s="11" t="str">
        <f>tbl_financials[[#This Row],[Month_Name]] &amp; "_" &amp; (tbl_financials[[#This Row],[Year]]-1)</f>
        <v>January_2013</v>
      </c>
      <c r="X41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16" spans="1:24" x14ac:dyDescent="0.3">
      <c r="A416" t="s">
        <v>7</v>
      </c>
      <c r="B416" t="s">
        <v>17</v>
      </c>
      <c r="C416" t="s">
        <v>34</v>
      </c>
      <c r="D416" t="s">
        <v>40</v>
      </c>
      <c r="E416" s="9">
        <v>2417</v>
      </c>
      <c r="F416" s="7">
        <v>10</v>
      </c>
      <c r="G416" s="7">
        <v>350</v>
      </c>
      <c r="H416" s="7">
        <v>845950</v>
      </c>
      <c r="I416" s="5">
        <v>76135.5</v>
      </c>
      <c r="J416" s="5">
        <v>769814.5</v>
      </c>
      <c r="K416" s="7">
        <v>628420</v>
      </c>
      <c r="L416" s="5">
        <v>141394.5</v>
      </c>
      <c r="M416" s="1">
        <v>41640</v>
      </c>
      <c r="N416">
        <v>1</v>
      </c>
      <c r="O416" t="s">
        <v>18</v>
      </c>
      <c r="P416" t="s">
        <v>12</v>
      </c>
      <c r="Q416" s="5">
        <f>tbl_financials[[#This Row],[Net_Sales]]</f>
        <v>769814.5</v>
      </c>
      <c r="R416" s="5">
        <f>ROUND(tbl_financials[[#This Row],[Revenue]]*(0.12+MOD(ROW(),7)/100),2)</f>
        <v>115472.18</v>
      </c>
      <c r="S416" s="7">
        <f t="shared" si="6"/>
        <v>4896</v>
      </c>
      <c r="T416" s="5">
        <f>tbl_financials[[#This Row],[Gross_Profit]]-tbl_financials[[#This Row],[Operating_Expenses]]+tbl_financials[[#This Row],[Other_Income]]</f>
        <v>30818.320000000007</v>
      </c>
      <c r="U416" s="11">
        <f>IF(tbl_financials[[#This Row],[Revenue]]=0,0,tbl_financials[[#This Row],[Net_Profit]]/tbl_financials[[#This Row],[Revenue]])</f>
        <v>4.0033436626615904E-2</v>
      </c>
      <c r="V416" s="11" t="str">
        <f>tbl_financials[[#This Row],[Month_Name]] &amp; "_" &amp; tbl_financials[[#This Row],[Year]]</f>
        <v>January_2014</v>
      </c>
      <c r="W416" s="11" t="str">
        <f>tbl_financials[[#This Row],[Month_Name]] &amp; "_" &amp; (tbl_financials[[#This Row],[Year]]-1)</f>
        <v>January_2013</v>
      </c>
      <c r="X41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17" spans="1:24" x14ac:dyDescent="0.3">
      <c r="A417" t="s">
        <v>5</v>
      </c>
      <c r="B417" t="s">
        <v>14</v>
      </c>
      <c r="C417" t="s">
        <v>34</v>
      </c>
      <c r="D417" t="s">
        <v>40</v>
      </c>
      <c r="E417" s="9">
        <v>3675</v>
      </c>
      <c r="F417" s="7">
        <v>10</v>
      </c>
      <c r="G417" s="7">
        <v>15</v>
      </c>
      <c r="H417" s="7">
        <v>55125</v>
      </c>
      <c r="I417" s="5">
        <v>4961.25</v>
      </c>
      <c r="J417" s="5">
        <v>50163.75</v>
      </c>
      <c r="K417" s="7">
        <v>36750</v>
      </c>
      <c r="L417" s="5">
        <v>13413.75</v>
      </c>
      <c r="M417" s="1">
        <v>41730</v>
      </c>
      <c r="N417">
        <v>4</v>
      </c>
      <c r="O417" t="s">
        <v>21</v>
      </c>
      <c r="P417" t="s">
        <v>12</v>
      </c>
      <c r="Q417" s="5">
        <f>tbl_financials[[#This Row],[Net_Sales]]</f>
        <v>50163.75</v>
      </c>
      <c r="R417" s="5">
        <f>ROUND(tbl_financials[[#This Row],[Revenue]]*(0.12+MOD(ROW(),7)/100),2)</f>
        <v>8026.2</v>
      </c>
      <c r="S417" s="7">
        <f t="shared" si="6"/>
        <v>4927</v>
      </c>
      <c r="T417" s="5">
        <f>tbl_financials[[#This Row],[Gross_Profit]]-tbl_financials[[#This Row],[Operating_Expenses]]+tbl_financials[[#This Row],[Other_Income]]</f>
        <v>10314.549999999999</v>
      </c>
      <c r="U417" s="11">
        <f>IF(tbl_financials[[#This Row],[Revenue]]=0,0,tbl_financials[[#This Row],[Net_Profit]]/tbl_financials[[#This Row],[Revenue]])</f>
        <v>0.2056176023522962</v>
      </c>
      <c r="V417" s="11" t="str">
        <f>tbl_financials[[#This Row],[Month_Name]] &amp; "_" &amp; tbl_financials[[#This Row],[Year]]</f>
        <v>April_2014</v>
      </c>
      <c r="W417" s="11" t="str">
        <f>tbl_financials[[#This Row],[Month_Name]] &amp; "_" &amp; (tbl_financials[[#This Row],[Year]]-1)</f>
        <v>April_2013</v>
      </c>
      <c r="X41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18" spans="1:24" x14ac:dyDescent="0.3">
      <c r="A418" t="s">
        <v>4</v>
      </c>
      <c r="B418" t="s">
        <v>13</v>
      </c>
      <c r="C418" t="s">
        <v>34</v>
      </c>
      <c r="D418" t="s">
        <v>40</v>
      </c>
      <c r="E418" s="9">
        <v>1094</v>
      </c>
      <c r="F418" s="7">
        <v>10</v>
      </c>
      <c r="G418" s="7">
        <v>300</v>
      </c>
      <c r="H418" s="7">
        <v>328200</v>
      </c>
      <c r="I418" s="5">
        <v>29538</v>
      </c>
      <c r="J418" s="5">
        <v>298662</v>
      </c>
      <c r="K418" s="7">
        <v>273500</v>
      </c>
      <c r="L418" s="5">
        <v>25162</v>
      </c>
      <c r="M418" s="1">
        <v>41791</v>
      </c>
      <c r="N418">
        <v>6</v>
      </c>
      <c r="O418" t="s">
        <v>23</v>
      </c>
      <c r="P418" t="s">
        <v>12</v>
      </c>
      <c r="Q418" s="5">
        <f>tbl_financials[[#This Row],[Net_Sales]]</f>
        <v>298662</v>
      </c>
      <c r="R418" s="5">
        <f>ROUND(tbl_financials[[#This Row],[Revenue]]*(0.12+MOD(ROW(),7)/100),2)</f>
        <v>50772.54</v>
      </c>
      <c r="S418" s="7">
        <f t="shared" si="6"/>
        <v>4958</v>
      </c>
      <c r="T418" s="5">
        <f>tbl_financials[[#This Row],[Gross_Profit]]-tbl_financials[[#This Row],[Operating_Expenses]]+tbl_financials[[#This Row],[Other_Income]]</f>
        <v>-20652.54</v>
      </c>
      <c r="U418" s="11">
        <f>IF(tbl_financials[[#This Row],[Revenue]]=0,0,tbl_financials[[#This Row],[Net_Profit]]/tbl_financials[[#This Row],[Revenue]])</f>
        <v>-6.9150209936315973E-2</v>
      </c>
      <c r="V418" s="11" t="str">
        <f>tbl_financials[[#This Row],[Month_Name]] &amp; "_" &amp; tbl_financials[[#This Row],[Year]]</f>
        <v>June_2014</v>
      </c>
      <c r="W418" s="11" t="str">
        <f>tbl_financials[[#This Row],[Month_Name]] &amp; "_" &amp; (tbl_financials[[#This Row],[Year]]-1)</f>
        <v>June_2013</v>
      </c>
      <c r="X41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19" spans="1:24" x14ac:dyDescent="0.3">
      <c r="A419" t="s">
        <v>5</v>
      </c>
      <c r="B419" t="s">
        <v>15</v>
      </c>
      <c r="C419" t="s">
        <v>34</v>
      </c>
      <c r="D419" t="s">
        <v>40</v>
      </c>
      <c r="E419" s="9">
        <v>1227</v>
      </c>
      <c r="F419" s="7">
        <v>10</v>
      </c>
      <c r="G419" s="7">
        <v>15</v>
      </c>
      <c r="H419" s="7">
        <v>18405</v>
      </c>
      <c r="I419" s="5">
        <v>1656.45</v>
      </c>
      <c r="J419" s="5">
        <v>16748.55</v>
      </c>
      <c r="K419" s="7">
        <v>12270</v>
      </c>
      <c r="L419" s="5">
        <v>4478.5499999999902</v>
      </c>
      <c r="M419" s="1">
        <v>41913</v>
      </c>
      <c r="N419">
        <v>10</v>
      </c>
      <c r="O419" t="s">
        <v>27</v>
      </c>
      <c r="P419" t="s">
        <v>12</v>
      </c>
      <c r="Q419" s="5">
        <f>tbl_financials[[#This Row],[Net_Sales]]</f>
        <v>16748.55</v>
      </c>
      <c r="R419" s="5">
        <f>ROUND(tbl_financials[[#This Row],[Revenue]]*(0.12+MOD(ROW(),7)/100),2)</f>
        <v>3014.74</v>
      </c>
      <c r="S419" s="7">
        <f t="shared" si="6"/>
        <v>4989</v>
      </c>
      <c r="T419" s="5">
        <f>tbl_financials[[#This Row],[Gross_Profit]]-tbl_financials[[#This Row],[Operating_Expenses]]+tbl_financials[[#This Row],[Other_Income]]</f>
        <v>6452.8099999999904</v>
      </c>
      <c r="U419" s="11">
        <f>IF(tbl_financials[[#This Row],[Revenue]]=0,0,tbl_financials[[#This Row],[Net_Profit]]/tbl_financials[[#This Row],[Revenue]])</f>
        <v>0.38527574028796469</v>
      </c>
      <c r="V419" s="11" t="str">
        <f>tbl_financials[[#This Row],[Month_Name]] &amp; "_" &amp; tbl_financials[[#This Row],[Year]]</f>
        <v>October_2014</v>
      </c>
      <c r="W419" s="11" t="str">
        <f>tbl_financials[[#This Row],[Month_Name]] &amp; "_" &amp; (tbl_financials[[#This Row],[Year]]-1)</f>
        <v>October_2013</v>
      </c>
      <c r="X41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-0.61162782608695654</v>
      </c>
    </row>
    <row r="420" spans="1:24" x14ac:dyDescent="0.3">
      <c r="A420" t="s">
        <v>8</v>
      </c>
      <c r="B420" t="s">
        <v>17</v>
      </c>
      <c r="C420" t="s">
        <v>34</v>
      </c>
      <c r="D420" t="s">
        <v>40</v>
      </c>
      <c r="E420" s="9">
        <v>367</v>
      </c>
      <c r="F420" s="7">
        <v>10</v>
      </c>
      <c r="G420" s="7">
        <v>12</v>
      </c>
      <c r="H420" s="7">
        <v>4404</v>
      </c>
      <c r="I420" s="5">
        <v>396.36</v>
      </c>
      <c r="J420" s="5">
        <v>4007.64</v>
      </c>
      <c r="K420" s="7">
        <v>1101</v>
      </c>
      <c r="L420" s="5">
        <v>2906.64</v>
      </c>
      <c r="M420" s="1">
        <v>41548</v>
      </c>
      <c r="N420">
        <v>10</v>
      </c>
      <c r="O420" t="s">
        <v>27</v>
      </c>
      <c r="P420" t="s">
        <v>11</v>
      </c>
      <c r="Q420" s="5">
        <f>tbl_financials[[#This Row],[Net_Sales]]</f>
        <v>4007.64</v>
      </c>
      <c r="R420" s="5">
        <f>ROUND(tbl_financials[[#This Row],[Revenue]]*(0.12+MOD(ROW(),7)/100),2)</f>
        <v>480.92</v>
      </c>
      <c r="S420" s="7">
        <f t="shared" si="6"/>
        <v>5020</v>
      </c>
      <c r="T420" s="5">
        <f>tbl_financials[[#This Row],[Gross_Profit]]-tbl_financials[[#This Row],[Operating_Expenses]]+tbl_financials[[#This Row],[Other_Income]]</f>
        <v>7445.7199999999993</v>
      </c>
      <c r="U420" s="11">
        <f>IF(tbl_financials[[#This Row],[Revenue]]=0,0,tbl_financials[[#This Row],[Net_Profit]]/tbl_financials[[#This Row],[Revenue]])</f>
        <v>1.8578814464373046</v>
      </c>
      <c r="V420" s="11" t="str">
        <f>tbl_financials[[#This Row],[Month_Name]] &amp; "_" &amp; tbl_financials[[#This Row],[Year]]</f>
        <v>October_2013</v>
      </c>
      <c r="W420" s="11" t="str">
        <f>tbl_financials[[#This Row],[Month_Name]] &amp; "_" &amp; (tbl_financials[[#This Row],[Year]]-1)</f>
        <v>October_2012</v>
      </c>
      <c r="X42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21" spans="1:24" x14ac:dyDescent="0.3">
      <c r="A421" t="s">
        <v>4</v>
      </c>
      <c r="B421" t="s">
        <v>15</v>
      </c>
      <c r="C421" t="s">
        <v>34</v>
      </c>
      <c r="D421" t="s">
        <v>40</v>
      </c>
      <c r="E421" s="9">
        <v>1324</v>
      </c>
      <c r="F421" s="7">
        <v>10</v>
      </c>
      <c r="G421" s="7">
        <v>300</v>
      </c>
      <c r="H421" s="7">
        <v>397200</v>
      </c>
      <c r="I421" s="5">
        <v>35748</v>
      </c>
      <c r="J421" s="5">
        <v>361452</v>
      </c>
      <c r="K421" s="7">
        <v>331000</v>
      </c>
      <c r="L421" s="5">
        <v>30452</v>
      </c>
      <c r="M421" s="1">
        <v>41944</v>
      </c>
      <c r="N421">
        <v>11</v>
      </c>
      <c r="O421" t="s">
        <v>28</v>
      </c>
      <c r="P421" t="s">
        <v>12</v>
      </c>
      <c r="Q421" s="5">
        <f>tbl_financials[[#This Row],[Net_Sales]]</f>
        <v>361452</v>
      </c>
      <c r="R421" s="5">
        <f>ROUND(tbl_financials[[#This Row],[Revenue]]*(0.12+MOD(ROW(),7)/100),2)</f>
        <v>46988.76</v>
      </c>
      <c r="S421" s="7">
        <f t="shared" si="6"/>
        <v>5051</v>
      </c>
      <c r="T421" s="5">
        <f>tbl_financials[[#This Row],[Gross_Profit]]-tbl_financials[[#This Row],[Operating_Expenses]]+tbl_financials[[#This Row],[Other_Income]]</f>
        <v>-11485.760000000002</v>
      </c>
      <c r="U421" s="11">
        <f>IF(tbl_financials[[#This Row],[Revenue]]=0,0,tbl_financials[[#This Row],[Net_Profit]]/tbl_financials[[#This Row],[Revenue]])</f>
        <v>-3.1776722773701631E-2</v>
      </c>
      <c r="V421" s="11" t="str">
        <f>tbl_financials[[#This Row],[Month_Name]] &amp; "_" &amp; tbl_financials[[#This Row],[Year]]</f>
        <v>November_2014</v>
      </c>
      <c r="W421" s="11" t="str">
        <f>tbl_financials[[#This Row],[Month_Name]] &amp; "_" &amp; (tbl_financials[[#This Row],[Year]]-1)</f>
        <v>November_2013</v>
      </c>
      <c r="X42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-0.40132173913043478</v>
      </c>
    </row>
    <row r="422" spans="1:24" x14ac:dyDescent="0.3">
      <c r="A422" t="s">
        <v>8</v>
      </c>
      <c r="B422" t="s">
        <v>16</v>
      </c>
      <c r="C422" t="s">
        <v>34</v>
      </c>
      <c r="D422" t="s">
        <v>40</v>
      </c>
      <c r="E422" s="9">
        <v>1775</v>
      </c>
      <c r="F422" s="7">
        <v>10</v>
      </c>
      <c r="G422" s="7">
        <v>12</v>
      </c>
      <c r="H422" s="7">
        <v>21300</v>
      </c>
      <c r="I422" s="5">
        <v>1917</v>
      </c>
      <c r="J422" s="5">
        <v>19383</v>
      </c>
      <c r="K422" s="7">
        <v>5325</v>
      </c>
      <c r="L422" s="5">
        <v>14058</v>
      </c>
      <c r="M422" s="1">
        <v>41579</v>
      </c>
      <c r="N422">
        <v>11</v>
      </c>
      <c r="O422" t="s">
        <v>28</v>
      </c>
      <c r="P422" t="s">
        <v>11</v>
      </c>
      <c r="Q422" s="5">
        <f>tbl_financials[[#This Row],[Net_Sales]]</f>
        <v>19383</v>
      </c>
      <c r="R422" s="5">
        <f>ROUND(tbl_financials[[#This Row],[Revenue]]*(0.12+MOD(ROW(),7)/100),2)</f>
        <v>2713.62</v>
      </c>
      <c r="S422" s="7">
        <f t="shared" si="6"/>
        <v>5082</v>
      </c>
      <c r="T422" s="5">
        <f>tbl_financials[[#This Row],[Gross_Profit]]-tbl_financials[[#This Row],[Operating_Expenses]]+tbl_financials[[#This Row],[Other_Income]]</f>
        <v>16426.38</v>
      </c>
      <c r="U422" s="11">
        <f>IF(tbl_financials[[#This Row],[Revenue]]=0,0,tbl_financials[[#This Row],[Net_Profit]]/tbl_financials[[#This Row],[Revenue]])</f>
        <v>0.84746324098436776</v>
      </c>
      <c r="V422" s="11" t="str">
        <f>tbl_financials[[#This Row],[Month_Name]] &amp; "_" &amp; tbl_financials[[#This Row],[Year]]</f>
        <v>November_2013</v>
      </c>
      <c r="W422" s="11" t="str">
        <f>tbl_financials[[#This Row],[Month_Name]] &amp; "_" &amp; (tbl_financials[[#This Row],[Year]]-1)</f>
        <v>November_2012</v>
      </c>
      <c r="X42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23" spans="1:24" x14ac:dyDescent="0.3">
      <c r="A423" t="s">
        <v>6</v>
      </c>
      <c r="B423" t="s">
        <v>14</v>
      </c>
      <c r="C423" t="s">
        <v>34</v>
      </c>
      <c r="D423" t="s">
        <v>40</v>
      </c>
      <c r="E423" s="9">
        <v>2797</v>
      </c>
      <c r="F423" s="7">
        <v>10</v>
      </c>
      <c r="G423" s="7">
        <v>125</v>
      </c>
      <c r="H423" s="7">
        <v>349625</v>
      </c>
      <c r="I423" s="5">
        <v>31466.25</v>
      </c>
      <c r="J423" s="5">
        <v>318158.75</v>
      </c>
      <c r="K423" s="7">
        <v>335640</v>
      </c>
      <c r="L423" s="5">
        <v>-17481.25</v>
      </c>
      <c r="M423" s="1">
        <v>41974</v>
      </c>
      <c r="N423">
        <v>12</v>
      </c>
      <c r="O423" t="s">
        <v>29</v>
      </c>
      <c r="P423" t="s">
        <v>12</v>
      </c>
      <c r="Q423" s="5">
        <f>tbl_financials[[#This Row],[Net_Sales]]</f>
        <v>318158.75</v>
      </c>
      <c r="R423" s="5">
        <f>ROUND(tbl_financials[[#This Row],[Revenue]]*(0.12+MOD(ROW(),7)/100),2)</f>
        <v>47723.81</v>
      </c>
      <c r="S423" s="7">
        <f t="shared" si="6"/>
        <v>5113</v>
      </c>
      <c r="T423" s="5">
        <f>tbl_financials[[#This Row],[Gross_Profit]]-tbl_financials[[#This Row],[Operating_Expenses]]+tbl_financials[[#This Row],[Other_Income]]</f>
        <v>-60092.06</v>
      </c>
      <c r="U423" s="11">
        <f>IF(tbl_financials[[#This Row],[Revenue]]=0,0,tbl_financials[[#This Row],[Net_Profit]]/tbl_financials[[#This Row],[Revenue]])</f>
        <v>-0.18887445339787134</v>
      </c>
      <c r="V423" s="11" t="str">
        <f>tbl_financials[[#This Row],[Month_Name]] &amp; "_" &amp; tbl_financials[[#This Row],[Year]]</f>
        <v>December_2014</v>
      </c>
      <c r="W423" s="11" t="str">
        <f>tbl_financials[[#This Row],[Month_Name]] &amp; "_" &amp; (tbl_financials[[#This Row],[Year]]-1)</f>
        <v>December_2013</v>
      </c>
      <c r="X42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8.8562190210656748</v>
      </c>
    </row>
    <row r="424" spans="1:24" x14ac:dyDescent="0.3">
      <c r="A424" t="s">
        <v>5</v>
      </c>
      <c r="B424" t="s">
        <v>17</v>
      </c>
      <c r="C424" t="s">
        <v>35</v>
      </c>
      <c r="D424" t="s">
        <v>40</v>
      </c>
      <c r="E424" s="9">
        <v>245</v>
      </c>
      <c r="F424" s="7">
        <v>120</v>
      </c>
      <c r="G424" s="7">
        <v>15</v>
      </c>
      <c r="H424" s="7">
        <v>3675</v>
      </c>
      <c r="I424" s="5">
        <v>330.75</v>
      </c>
      <c r="J424" s="5">
        <v>3344.25</v>
      </c>
      <c r="K424" s="7">
        <v>2450</v>
      </c>
      <c r="L424" s="5">
        <v>894.25</v>
      </c>
      <c r="M424" s="1">
        <v>41760</v>
      </c>
      <c r="N424">
        <v>5</v>
      </c>
      <c r="O424" t="s">
        <v>22</v>
      </c>
      <c r="P424" t="s">
        <v>12</v>
      </c>
      <c r="Q424" s="5">
        <f>tbl_financials[[#This Row],[Net_Sales]]</f>
        <v>3344.25</v>
      </c>
      <c r="R424" s="5">
        <f>ROUND(tbl_financials[[#This Row],[Revenue]]*(0.12+MOD(ROW(),7)/100),2)</f>
        <v>535.08000000000004</v>
      </c>
      <c r="S424" s="7">
        <f t="shared" si="6"/>
        <v>5144</v>
      </c>
      <c r="T424" s="5">
        <f>tbl_financials[[#This Row],[Gross_Profit]]-tbl_financials[[#This Row],[Operating_Expenses]]+tbl_financials[[#This Row],[Other_Income]]</f>
        <v>5503.17</v>
      </c>
      <c r="U424" s="11">
        <f>IF(tbl_financials[[#This Row],[Revenue]]=0,0,tbl_financials[[#This Row],[Net_Profit]]/tbl_financials[[#This Row],[Revenue]])</f>
        <v>1.6455617851536219</v>
      </c>
      <c r="V424" s="11" t="str">
        <f>tbl_financials[[#This Row],[Month_Name]] &amp; "_" &amp; tbl_financials[[#This Row],[Year]]</f>
        <v>May_2014</v>
      </c>
      <c r="W424" s="11" t="str">
        <f>tbl_financials[[#This Row],[Month_Name]] &amp; "_" &amp; (tbl_financials[[#This Row],[Year]]-1)</f>
        <v>May_2013</v>
      </c>
      <c r="X42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25" spans="1:24" x14ac:dyDescent="0.3">
      <c r="A425" t="s">
        <v>4</v>
      </c>
      <c r="B425" t="s">
        <v>13</v>
      </c>
      <c r="C425" t="s">
        <v>35</v>
      </c>
      <c r="D425" t="s">
        <v>40</v>
      </c>
      <c r="E425" s="9">
        <v>3793.5</v>
      </c>
      <c r="F425" s="7">
        <v>120</v>
      </c>
      <c r="G425" s="7">
        <v>300</v>
      </c>
      <c r="H425" s="7">
        <v>1138050</v>
      </c>
      <c r="I425" s="5">
        <v>102424.5</v>
      </c>
      <c r="J425" s="5">
        <v>1035625.5</v>
      </c>
      <c r="K425" s="7">
        <v>948375</v>
      </c>
      <c r="L425" s="5">
        <v>87250.5</v>
      </c>
      <c r="M425" s="1">
        <v>41821</v>
      </c>
      <c r="N425">
        <v>7</v>
      </c>
      <c r="O425" t="s">
        <v>24</v>
      </c>
      <c r="P425" t="s">
        <v>12</v>
      </c>
      <c r="Q425" s="5">
        <f>tbl_financials[[#This Row],[Net_Sales]]</f>
        <v>1035625.5</v>
      </c>
      <c r="R425" s="5">
        <f>ROUND(tbl_financials[[#This Row],[Revenue]]*(0.12+MOD(ROW(),7)/100),2)</f>
        <v>176056.34</v>
      </c>
      <c r="S425" s="7">
        <f t="shared" si="6"/>
        <v>5175</v>
      </c>
      <c r="T425" s="5">
        <f>tbl_financials[[#This Row],[Gross_Profit]]-tbl_financials[[#This Row],[Operating_Expenses]]+tbl_financials[[#This Row],[Other_Income]]</f>
        <v>-83630.84</v>
      </c>
      <c r="U425" s="11">
        <f>IF(tbl_financials[[#This Row],[Revenue]]=0,0,tbl_financials[[#This Row],[Net_Profit]]/tbl_financials[[#This Row],[Revenue]])</f>
        <v>-8.0753940492967774E-2</v>
      </c>
      <c r="V425" s="11" t="str">
        <f>tbl_financials[[#This Row],[Month_Name]] &amp; "_" &amp; tbl_financials[[#This Row],[Year]]</f>
        <v>July_2014</v>
      </c>
      <c r="W425" s="11" t="str">
        <f>tbl_financials[[#This Row],[Month_Name]] &amp; "_" &amp; (tbl_financials[[#This Row],[Year]]-1)</f>
        <v>July_2013</v>
      </c>
      <c r="X42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26" spans="1:24" x14ac:dyDescent="0.3">
      <c r="A426" t="s">
        <v>7</v>
      </c>
      <c r="B426" t="s">
        <v>16</v>
      </c>
      <c r="C426" t="s">
        <v>35</v>
      </c>
      <c r="D426" t="s">
        <v>40</v>
      </c>
      <c r="E426" s="9">
        <v>1307</v>
      </c>
      <c r="F426" s="7">
        <v>120</v>
      </c>
      <c r="G426" s="7">
        <v>350</v>
      </c>
      <c r="H426" s="7">
        <v>457450</v>
      </c>
      <c r="I426" s="5">
        <v>41170.5</v>
      </c>
      <c r="J426" s="5">
        <v>416279.5</v>
      </c>
      <c r="K426" s="7">
        <v>339820</v>
      </c>
      <c r="L426" s="5">
        <v>76459.5</v>
      </c>
      <c r="M426" s="1">
        <v>41821</v>
      </c>
      <c r="N426">
        <v>7</v>
      </c>
      <c r="O426" t="s">
        <v>24</v>
      </c>
      <c r="P426" t="s">
        <v>12</v>
      </c>
      <c r="Q426" s="5">
        <f>tbl_financials[[#This Row],[Net_Sales]]</f>
        <v>416279.5</v>
      </c>
      <c r="R426" s="5">
        <f>ROUND(tbl_financials[[#This Row],[Revenue]]*(0.12+MOD(ROW(),7)/100),2)</f>
        <v>74930.31</v>
      </c>
      <c r="S426" s="7">
        <f t="shared" si="6"/>
        <v>5206</v>
      </c>
      <c r="T426" s="5">
        <f>tbl_financials[[#This Row],[Gross_Profit]]-tbl_financials[[#This Row],[Operating_Expenses]]+tbl_financials[[#This Row],[Other_Income]]</f>
        <v>6735.1900000000023</v>
      </c>
      <c r="U426" s="11">
        <f>IF(tbl_financials[[#This Row],[Revenue]]=0,0,tbl_financials[[#This Row],[Net_Profit]]/tbl_financials[[#This Row],[Revenue]])</f>
        <v>1.6179489982091365E-2</v>
      </c>
      <c r="V426" s="11" t="str">
        <f>tbl_financials[[#This Row],[Month_Name]] &amp; "_" &amp; tbl_financials[[#This Row],[Year]]</f>
        <v>July_2014</v>
      </c>
      <c r="W426" s="11" t="str">
        <f>tbl_financials[[#This Row],[Month_Name]] &amp; "_" &amp; (tbl_financials[[#This Row],[Year]]-1)</f>
        <v>July_2013</v>
      </c>
      <c r="X42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27" spans="1:24" x14ac:dyDescent="0.3">
      <c r="A427" t="s">
        <v>6</v>
      </c>
      <c r="B427" t="s">
        <v>13</v>
      </c>
      <c r="C427" t="s">
        <v>35</v>
      </c>
      <c r="D427" t="s">
        <v>40</v>
      </c>
      <c r="E427" s="9">
        <v>567</v>
      </c>
      <c r="F427" s="7">
        <v>120</v>
      </c>
      <c r="G427" s="7">
        <v>125</v>
      </c>
      <c r="H427" s="7">
        <v>70875</v>
      </c>
      <c r="I427" s="5">
        <v>6378.75</v>
      </c>
      <c r="J427" s="5">
        <v>64496.25</v>
      </c>
      <c r="K427" s="7">
        <v>68040</v>
      </c>
      <c r="L427" s="5">
        <v>-3543.75</v>
      </c>
      <c r="M427" s="1">
        <v>41883</v>
      </c>
      <c r="N427">
        <v>9</v>
      </c>
      <c r="O427" t="s">
        <v>26</v>
      </c>
      <c r="P427" t="s">
        <v>12</v>
      </c>
      <c r="Q427" s="5">
        <f>tbl_financials[[#This Row],[Net_Sales]]</f>
        <v>64496.25</v>
      </c>
      <c r="R427" s="5">
        <f>ROUND(tbl_financials[[#This Row],[Revenue]]*(0.12+MOD(ROW(),7)/100),2)</f>
        <v>7739.55</v>
      </c>
      <c r="S427" s="7">
        <f t="shared" si="6"/>
        <v>5237</v>
      </c>
      <c r="T427" s="5">
        <f>tbl_financials[[#This Row],[Gross_Profit]]-tbl_financials[[#This Row],[Operating_Expenses]]+tbl_financials[[#This Row],[Other_Income]]</f>
        <v>-6046.2999999999993</v>
      </c>
      <c r="U427" s="11">
        <f>IF(tbl_financials[[#This Row],[Revenue]]=0,0,tbl_financials[[#This Row],[Net_Profit]]/tbl_financials[[#This Row],[Revenue]])</f>
        <v>-9.374653565129755E-2</v>
      </c>
      <c r="V427" s="11" t="str">
        <f>tbl_financials[[#This Row],[Month_Name]] &amp; "_" &amp; tbl_financials[[#This Row],[Year]]</f>
        <v>September_2014</v>
      </c>
      <c r="W427" s="11" t="str">
        <f>tbl_financials[[#This Row],[Month_Name]] &amp; "_" &amp; (tbl_financials[[#This Row],[Year]]-1)</f>
        <v>September_2013</v>
      </c>
      <c r="X42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6.831967213114754</v>
      </c>
    </row>
    <row r="428" spans="1:24" x14ac:dyDescent="0.3">
      <c r="A428" t="s">
        <v>6</v>
      </c>
      <c r="B428" t="s">
        <v>17</v>
      </c>
      <c r="C428" t="s">
        <v>35</v>
      </c>
      <c r="D428" t="s">
        <v>40</v>
      </c>
      <c r="E428" s="9">
        <v>2110</v>
      </c>
      <c r="F428" s="7">
        <v>120</v>
      </c>
      <c r="G428" s="7">
        <v>125</v>
      </c>
      <c r="H428" s="7">
        <v>263750</v>
      </c>
      <c r="I428" s="5">
        <v>23737.5</v>
      </c>
      <c r="J428" s="5">
        <v>240012.5</v>
      </c>
      <c r="K428" s="7">
        <v>253200</v>
      </c>
      <c r="L428" s="5">
        <v>-13187.5</v>
      </c>
      <c r="M428" s="1">
        <v>41883</v>
      </c>
      <c r="N428">
        <v>9</v>
      </c>
      <c r="O428" t="s">
        <v>26</v>
      </c>
      <c r="P428" t="s">
        <v>12</v>
      </c>
      <c r="Q428" s="5">
        <f>tbl_financials[[#This Row],[Net_Sales]]</f>
        <v>240012.5</v>
      </c>
      <c r="R428" s="5">
        <f>ROUND(tbl_financials[[#This Row],[Revenue]]*(0.12+MOD(ROW(),7)/100),2)</f>
        <v>31201.63</v>
      </c>
      <c r="S428" s="7">
        <f t="shared" si="6"/>
        <v>5268</v>
      </c>
      <c r="T428" s="5">
        <f>tbl_financials[[#This Row],[Gross_Profit]]-tbl_financials[[#This Row],[Operating_Expenses]]+tbl_financials[[#This Row],[Other_Income]]</f>
        <v>-39121.130000000005</v>
      </c>
      <c r="U428" s="11">
        <f>IF(tbl_financials[[#This Row],[Revenue]]=0,0,tbl_financials[[#This Row],[Net_Profit]]/tbl_financials[[#This Row],[Revenue]])</f>
        <v>-0.16299621894692987</v>
      </c>
      <c r="V428" s="11" t="str">
        <f>tbl_financials[[#This Row],[Month_Name]] &amp; "_" &amp; tbl_financials[[#This Row],[Year]]</f>
        <v>September_2014</v>
      </c>
      <c r="W428" s="11" t="str">
        <f>tbl_financials[[#This Row],[Month_Name]] &amp; "_" &amp; (tbl_financials[[#This Row],[Year]]-1)</f>
        <v>September_2013</v>
      </c>
      <c r="X42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28.145415907710991</v>
      </c>
    </row>
    <row r="429" spans="1:24" x14ac:dyDescent="0.3">
      <c r="A429" t="s">
        <v>7</v>
      </c>
      <c r="B429" t="s">
        <v>13</v>
      </c>
      <c r="C429" t="s">
        <v>35</v>
      </c>
      <c r="D429" t="s">
        <v>40</v>
      </c>
      <c r="E429" s="9">
        <v>1269</v>
      </c>
      <c r="F429" s="7">
        <v>120</v>
      </c>
      <c r="G429" s="7">
        <v>350</v>
      </c>
      <c r="H429" s="7">
        <v>444150</v>
      </c>
      <c r="I429" s="5">
        <v>39973.5</v>
      </c>
      <c r="J429" s="5">
        <v>404176.5</v>
      </c>
      <c r="K429" s="7">
        <v>329940</v>
      </c>
      <c r="L429" s="5">
        <v>74236.5</v>
      </c>
      <c r="M429" s="1">
        <v>41913</v>
      </c>
      <c r="N429">
        <v>10</v>
      </c>
      <c r="O429" t="s">
        <v>27</v>
      </c>
      <c r="P429" t="s">
        <v>12</v>
      </c>
      <c r="Q429" s="5">
        <f>tbl_financials[[#This Row],[Net_Sales]]</f>
        <v>404176.5</v>
      </c>
      <c r="R429" s="5">
        <f>ROUND(tbl_financials[[#This Row],[Revenue]]*(0.12+MOD(ROW(),7)/100),2)</f>
        <v>56584.71</v>
      </c>
      <c r="S429" s="7">
        <f t="shared" si="6"/>
        <v>5299</v>
      </c>
      <c r="T429" s="5">
        <f>tbl_financials[[#This Row],[Gross_Profit]]-tbl_financials[[#This Row],[Operating_Expenses]]+tbl_financials[[#This Row],[Other_Income]]</f>
        <v>22950.79</v>
      </c>
      <c r="U429" s="11">
        <f>IF(tbl_financials[[#This Row],[Revenue]]=0,0,tbl_financials[[#This Row],[Net_Profit]]/tbl_financials[[#This Row],[Revenue]])</f>
        <v>5.6784078243044808E-2</v>
      </c>
      <c r="V429" s="11" t="str">
        <f>tbl_financials[[#This Row],[Month_Name]] &amp; "_" &amp; tbl_financials[[#This Row],[Year]]</f>
        <v>October_2014</v>
      </c>
      <c r="W429" s="11" t="str">
        <f>tbl_financials[[#This Row],[Month_Name]] &amp; "_" &amp; (tbl_financials[[#This Row],[Year]]-1)</f>
        <v>October_2013</v>
      </c>
      <c r="X42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8.3722086956521746</v>
      </c>
    </row>
    <row r="430" spans="1:24" x14ac:dyDescent="0.3">
      <c r="A430" t="s">
        <v>8</v>
      </c>
      <c r="B430" t="s">
        <v>14</v>
      </c>
      <c r="C430" t="s">
        <v>36</v>
      </c>
      <c r="D430" t="s">
        <v>40</v>
      </c>
      <c r="E430" s="9">
        <v>1956</v>
      </c>
      <c r="F430" s="7">
        <v>250</v>
      </c>
      <c r="G430" s="7">
        <v>12</v>
      </c>
      <c r="H430" s="7">
        <v>23472</v>
      </c>
      <c r="I430" s="5">
        <v>2112.48</v>
      </c>
      <c r="J430" s="5">
        <v>21359.52</v>
      </c>
      <c r="K430" s="7">
        <v>5868</v>
      </c>
      <c r="L430" s="5">
        <v>15491.52</v>
      </c>
      <c r="M430" s="1">
        <v>41640</v>
      </c>
      <c r="N430">
        <v>1</v>
      </c>
      <c r="O430" t="s">
        <v>18</v>
      </c>
      <c r="P430" t="s">
        <v>12</v>
      </c>
      <c r="Q430" s="5">
        <f>tbl_financials[[#This Row],[Net_Sales]]</f>
        <v>21359.52</v>
      </c>
      <c r="R430" s="5">
        <f>ROUND(tbl_financials[[#This Row],[Revenue]]*(0.12+MOD(ROW(),7)/100),2)</f>
        <v>3203.93</v>
      </c>
      <c r="S430" s="7">
        <f t="shared" si="6"/>
        <v>5330</v>
      </c>
      <c r="T430" s="5">
        <f>tbl_financials[[#This Row],[Gross_Profit]]-tbl_financials[[#This Row],[Operating_Expenses]]+tbl_financials[[#This Row],[Other_Income]]</f>
        <v>17617.59</v>
      </c>
      <c r="U430" s="11">
        <f>IF(tbl_financials[[#This Row],[Revenue]]=0,0,tbl_financials[[#This Row],[Net_Profit]]/tbl_financials[[#This Row],[Revenue]])</f>
        <v>0.8248120744286388</v>
      </c>
      <c r="V430" s="11" t="str">
        <f>tbl_financials[[#This Row],[Month_Name]] &amp; "_" &amp; tbl_financials[[#This Row],[Year]]</f>
        <v>January_2014</v>
      </c>
      <c r="W430" s="11" t="str">
        <f>tbl_financials[[#This Row],[Month_Name]] &amp; "_" &amp; (tbl_financials[[#This Row],[Year]]-1)</f>
        <v>January_2013</v>
      </c>
      <c r="X43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31" spans="1:24" x14ac:dyDescent="0.3">
      <c r="A431" t="s">
        <v>4</v>
      </c>
      <c r="B431" t="s">
        <v>16</v>
      </c>
      <c r="C431" t="s">
        <v>36</v>
      </c>
      <c r="D431" t="s">
        <v>40</v>
      </c>
      <c r="E431" s="9">
        <v>2659</v>
      </c>
      <c r="F431" s="7">
        <v>250</v>
      </c>
      <c r="G431" s="7">
        <v>300</v>
      </c>
      <c r="H431" s="7">
        <v>797700</v>
      </c>
      <c r="I431" s="5">
        <v>71793</v>
      </c>
      <c r="J431" s="5">
        <v>725907</v>
      </c>
      <c r="K431" s="7">
        <v>664750</v>
      </c>
      <c r="L431" s="5">
        <v>61157</v>
      </c>
      <c r="M431" s="1">
        <v>41671</v>
      </c>
      <c r="N431">
        <v>2</v>
      </c>
      <c r="O431" t="s">
        <v>19</v>
      </c>
      <c r="P431" t="s">
        <v>12</v>
      </c>
      <c r="Q431" s="5">
        <f>tbl_financials[[#This Row],[Net_Sales]]</f>
        <v>725907</v>
      </c>
      <c r="R431" s="5">
        <f>ROUND(tbl_financials[[#This Row],[Revenue]]*(0.12+MOD(ROW(),7)/100),2)</f>
        <v>116145.12</v>
      </c>
      <c r="S431" s="7">
        <f t="shared" si="6"/>
        <v>5361</v>
      </c>
      <c r="T431" s="5">
        <f>tbl_financials[[#This Row],[Gross_Profit]]-tbl_financials[[#This Row],[Operating_Expenses]]+tbl_financials[[#This Row],[Other_Income]]</f>
        <v>-49627.119999999995</v>
      </c>
      <c r="U431" s="11">
        <f>IF(tbl_financials[[#This Row],[Revenue]]=0,0,tbl_financials[[#This Row],[Net_Profit]]/tbl_financials[[#This Row],[Revenue]])</f>
        <v>-6.8365672186657511E-2</v>
      </c>
      <c r="V431" s="11" t="str">
        <f>tbl_financials[[#This Row],[Month_Name]] &amp; "_" &amp; tbl_financials[[#This Row],[Year]]</f>
        <v>February_2014</v>
      </c>
      <c r="W431" s="11" t="str">
        <f>tbl_financials[[#This Row],[Month_Name]] &amp; "_" &amp; (tbl_financials[[#This Row],[Year]]-1)</f>
        <v>February_2013</v>
      </c>
      <c r="X43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32" spans="1:24" x14ac:dyDescent="0.3">
      <c r="A432" t="s">
        <v>7</v>
      </c>
      <c r="B432" t="s">
        <v>14</v>
      </c>
      <c r="C432" t="s">
        <v>36</v>
      </c>
      <c r="D432" t="s">
        <v>40</v>
      </c>
      <c r="E432" s="9">
        <v>1351.5</v>
      </c>
      <c r="F432" s="7">
        <v>250</v>
      </c>
      <c r="G432" s="7">
        <v>350</v>
      </c>
      <c r="H432" s="7">
        <v>473025</v>
      </c>
      <c r="I432" s="5">
        <v>42572.25</v>
      </c>
      <c r="J432" s="5">
        <v>430452.75</v>
      </c>
      <c r="K432" s="7">
        <v>351390</v>
      </c>
      <c r="L432" s="5">
        <v>79062.75</v>
      </c>
      <c r="M432" s="1">
        <v>41730</v>
      </c>
      <c r="N432">
        <v>4</v>
      </c>
      <c r="O432" t="s">
        <v>21</v>
      </c>
      <c r="P432" t="s">
        <v>12</v>
      </c>
      <c r="Q432" s="5">
        <f>tbl_financials[[#This Row],[Net_Sales]]</f>
        <v>430452.75</v>
      </c>
      <c r="R432" s="5">
        <f>ROUND(tbl_financials[[#This Row],[Revenue]]*(0.12+MOD(ROW(),7)/100),2)</f>
        <v>73176.97</v>
      </c>
      <c r="S432" s="7">
        <f t="shared" si="6"/>
        <v>5392</v>
      </c>
      <c r="T432" s="5">
        <f>tbl_financials[[#This Row],[Gross_Profit]]-tbl_financials[[#This Row],[Operating_Expenses]]+tbl_financials[[#This Row],[Other_Income]]</f>
        <v>11277.779999999999</v>
      </c>
      <c r="U432" s="11">
        <f>IF(tbl_financials[[#This Row],[Revenue]]=0,0,tbl_financials[[#This Row],[Net_Profit]]/tbl_financials[[#This Row],[Revenue]])</f>
        <v>2.6199809386744537E-2</v>
      </c>
      <c r="V432" s="11" t="str">
        <f>tbl_financials[[#This Row],[Month_Name]] &amp; "_" &amp; tbl_financials[[#This Row],[Year]]</f>
        <v>April_2014</v>
      </c>
      <c r="W432" s="11" t="str">
        <f>tbl_financials[[#This Row],[Month_Name]] &amp; "_" &amp; (tbl_financials[[#This Row],[Year]]-1)</f>
        <v>April_2013</v>
      </c>
      <c r="X43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33" spans="1:24" x14ac:dyDescent="0.3">
      <c r="A433" t="s">
        <v>8</v>
      </c>
      <c r="B433" t="s">
        <v>16</v>
      </c>
      <c r="C433" t="s">
        <v>36</v>
      </c>
      <c r="D433" t="s">
        <v>40</v>
      </c>
      <c r="E433" s="9">
        <v>880</v>
      </c>
      <c r="F433" s="7">
        <v>250</v>
      </c>
      <c r="G433" s="7">
        <v>12</v>
      </c>
      <c r="H433" s="7">
        <v>10560</v>
      </c>
      <c r="I433" s="5">
        <v>950.4</v>
      </c>
      <c r="J433" s="5">
        <v>9609.6</v>
      </c>
      <c r="K433" s="7">
        <v>2640</v>
      </c>
      <c r="L433" s="5">
        <v>6969.6</v>
      </c>
      <c r="M433" s="1">
        <v>41760</v>
      </c>
      <c r="N433">
        <v>5</v>
      </c>
      <c r="O433" t="s">
        <v>22</v>
      </c>
      <c r="P433" t="s">
        <v>12</v>
      </c>
      <c r="Q433" s="5">
        <f>tbl_financials[[#This Row],[Net_Sales]]</f>
        <v>9609.6</v>
      </c>
      <c r="R433" s="5">
        <f>ROUND(tbl_financials[[#This Row],[Revenue]]*(0.12+MOD(ROW(),7)/100),2)</f>
        <v>1729.73</v>
      </c>
      <c r="S433" s="7">
        <f t="shared" si="6"/>
        <v>5423</v>
      </c>
      <c r="T433" s="5">
        <f>tbl_financials[[#This Row],[Gross_Profit]]-tbl_financials[[#This Row],[Operating_Expenses]]+tbl_financials[[#This Row],[Other_Income]]</f>
        <v>10662.87</v>
      </c>
      <c r="U433" s="11">
        <f>IF(tbl_financials[[#This Row],[Revenue]]=0,0,tbl_financials[[#This Row],[Net_Profit]]/tbl_financials[[#This Row],[Revenue]])</f>
        <v>1.1096060189810191</v>
      </c>
      <c r="V433" s="11" t="str">
        <f>tbl_financials[[#This Row],[Month_Name]] &amp; "_" &amp; tbl_financials[[#This Row],[Year]]</f>
        <v>May_2014</v>
      </c>
      <c r="W433" s="11" t="str">
        <f>tbl_financials[[#This Row],[Month_Name]] &amp; "_" &amp; (tbl_financials[[#This Row],[Year]]-1)</f>
        <v>May_2013</v>
      </c>
      <c r="X43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34" spans="1:24" x14ac:dyDescent="0.3">
      <c r="A434" t="s">
        <v>4</v>
      </c>
      <c r="B434" t="s">
        <v>14</v>
      </c>
      <c r="C434" t="s">
        <v>36</v>
      </c>
      <c r="D434" t="s">
        <v>40</v>
      </c>
      <c r="E434" s="9">
        <v>1867</v>
      </c>
      <c r="F434" s="7">
        <v>250</v>
      </c>
      <c r="G434" s="7">
        <v>300</v>
      </c>
      <c r="H434" s="7">
        <v>560100</v>
      </c>
      <c r="I434" s="5">
        <v>50409</v>
      </c>
      <c r="J434" s="5">
        <v>509691</v>
      </c>
      <c r="K434" s="7">
        <v>466750</v>
      </c>
      <c r="L434" s="5">
        <v>42941</v>
      </c>
      <c r="M434" s="1">
        <v>41883</v>
      </c>
      <c r="N434">
        <v>9</v>
      </c>
      <c r="O434" t="s">
        <v>26</v>
      </c>
      <c r="P434" t="s">
        <v>12</v>
      </c>
      <c r="Q434" s="5">
        <f>tbl_financials[[#This Row],[Net_Sales]]</f>
        <v>509691</v>
      </c>
      <c r="R434" s="5">
        <f>ROUND(tbl_financials[[#This Row],[Revenue]]*(0.12+MOD(ROW(),7)/100),2)</f>
        <v>61162.92</v>
      </c>
      <c r="S434" s="7">
        <f t="shared" si="6"/>
        <v>5454</v>
      </c>
      <c r="T434" s="5">
        <f>tbl_financials[[#This Row],[Gross_Profit]]-tbl_financials[[#This Row],[Operating_Expenses]]+tbl_financials[[#This Row],[Other_Income]]</f>
        <v>-12767.919999999998</v>
      </c>
      <c r="U434" s="11">
        <f>IF(tbl_financials[[#This Row],[Revenue]]=0,0,tbl_financials[[#This Row],[Net_Profit]]/tbl_financials[[#This Row],[Revenue]])</f>
        <v>-2.5050314798574034E-2</v>
      </c>
      <c r="V434" s="11" t="str">
        <f>tbl_financials[[#This Row],[Month_Name]] &amp; "_" &amp; tbl_financials[[#This Row],[Year]]</f>
        <v>September_2014</v>
      </c>
      <c r="W434" s="11" t="str">
        <f>tbl_financials[[#This Row],[Month_Name]] &amp; "_" &amp; (tbl_financials[[#This Row],[Year]]-1)</f>
        <v>September_2013</v>
      </c>
      <c r="X43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60.893260473588342</v>
      </c>
    </row>
    <row r="435" spans="1:24" x14ac:dyDescent="0.3">
      <c r="A435" t="s">
        <v>8</v>
      </c>
      <c r="B435" t="s">
        <v>15</v>
      </c>
      <c r="C435" t="s">
        <v>36</v>
      </c>
      <c r="D435" t="s">
        <v>40</v>
      </c>
      <c r="E435" s="9">
        <v>2234</v>
      </c>
      <c r="F435" s="7">
        <v>250</v>
      </c>
      <c r="G435" s="7">
        <v>12</v>
      </c>
      <c r="H435" s="7">
        <v>26808</v>
      </c>
      <c r="I435" s="5">
        <v>2412.7199999999998</v>
      </c>
      <c r="J435" s="5">
        <v>24395.279999999999</v>
      </c>
      <c r="K435" s="7">
        <v>6702</v>
      </c>
      <c r="L435" s="5">
        <v>17693.28</v>
      </c>
      <c r="M435" s="1">
        <v>41518</v>
      </c>
      <c r="N435">
        <v>9</v>
      </c>
      <c r="O435" t="s">
        <v>26</v>
      </c>
      <c r="P435" t="s">
        <v>11</v>
      </c>
      <c r="Q435" s="5">
        <f>tbl_financials[[#This Row],[Net_Sales]]</f>
        <v>24395.279999999999</v>
      </c>
      <c r="R435" s="5">
        <f>ROUND(tbl_financials[[#This Row],[Revenue]]*(0.12+MOD(ROW(),7)/100),2)</f>
        <v>3171.39</v>
      </c>
      <c r="S435" s="7">
        <f t="shared" si="6"/>
        <v>5485</v>
      </c>
      <c r="T435" s="5">
        <f>tbl_financials[[#This Row],[Gross_Profit]]-tbl_financials[[#This Row],[Operating_Expenses]]+tbl_financials[[#This Row],[Other_Income]]</f>
        <v>20006.89</v>
      </c>
      <c r="U435" s="11">
        <f>IF(tbl_financials[[#This Row],[Revenue]]=0,0,tbl_financials[[#This Row],[Net_Profit]]/tbl_financials[[#This Row],[Revenue]])</f>
        <v>0.82011315303616106</v>
      </c>
      <c r="V435" s="11" t="str">
        <f>tbl_financials[[#This Row],[Month_Name]] &amp; "_" &amp; tbl_financials[[#This Row],[Year]]</f>
        <v>September_2013</v>
      </c>
      <c r="W435" s="11" t="str">
        <f>tbl_financials[[#This Row],[Month_Name]] &amp; "_" &amp; (tbl_financials[[#This Row],[Year]]-1)</f>
        <v>September_2012</v>
      </c>
      <c r="X43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36" spans="1:24" x14ac:dyDescent="0.3">
      <c r="A436" t="s">
        <v>5</v>
      </c>
      <c r="B436" t="s">
        <v>15</v>
      </c>
      <c r="C436" t="s">
        <v>36</v>
      </c>
      <c r="D436" t="s">
        <v>40</v>
      </c>
      <c r="E436" s="9">
        <v>1227</v>
      </c>
      <c r="F436" s="7">
        <v>250</v>
      </c>
      <c r="G436" s="7">
        <v>15</v>
      </c>
      <c r="H436" s="7">
        <v>18405</v>
      </c>
      <c r="I436" s="5">
        <v>1656.45</v>
      </c>
      <c r="J436" s="5">
        <v>16748.55</v>
      </c>
      <c r="K436" s="7">
        <v>12270</v>
      </c>
      <c r="L436" s="5">
        <v>4478.5499999999902</v>
      </c>
      <c r="M436" s="1">
        <v>41913</v>
      </c>
      <c r="N436">
        <v>10</v>
      </c>
      <c r="O436" t="s">
        <v>27</v>
      </c>
      <c r="P436" t="s">
        <v>12</v>
      </c>
      <c r="Q436" s="5">
        <f>tbl_financials[[#This Row],[Net_Sales]]</f>
        <v>16748.55</v>
      </c>
      <c r="R436" s="5">
        <f>ROUND(tbl_financials[[#This Row],[Revenue]]*(0.12+MOD(ROW(),7)/100),2)</f>
        <v>2344.8000000000002</v>
      </c>
      <c r="S436" s="7">
        <f t="shared" si="6"/>
        <v>5516</v>
      </c>
      <c r="T436" s="5">
        <f>tbl_financials[[#This Row],[Gross_Profit]]-tbl_financials[[#This Row],[Operating_Expenses]]+tbl_financials[[#This Row],[Other_Income]]</f>
        <v>7649.74999999999</v>
      </c>
      <c r="U436" s="11">
        <f>IF(tbl_financials[[#This Row],[Revenue]]=0,0,tbl_financials[[#This Row],[Net_Profit]]/tbl_financials[[#This Row],[Revenue]])</f>
        <v>0.45674103131315785</v>
      </c>
      <c r="V436" s="11" t="str">
        <f>tbl_financials[[#This Row],[Month_Name]] &amp; "_" &amp; tbl_financials[[#This Row],[Year]]</f>
        <v>October_2014</v>
      </c>
      <c r="W436" s="11" t="str">
        <f>tbl_financials[[#This Row],[Month_Name]] &amp; "_" &amp; (tbl_financials[[#This Row],[Year]]-1)</f>
        <v>October_2013</v>
      </c>
      <c r="X43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-0.61162782608695654</v>
      </c>
    </row>
    <row r="437" spans="1:24" x14ac:dyDescent="0.3">
      <c r="A437" t="s">
        <v>6</v>
      </c>
      <c r="B437" t="s">
        <v>17</v>
      </c>
      <c r="C437" t="s">
        <v>36</v>
      </c>
      <c r="D437" t="s">
        <v>40</v>
      </c>
      <c r="E437" s="9">
        <v>877</v>
      </c>
      <c r="F437" s="7">
        <v>250</v>
      </c>
      <c r="G437" s="7">
        <v>125</v>
      </c>
      <c r="H437" s="7">
        <v>109625</v>
      </c>
      <c r="I437" s="5">
        <v>9866.25</v>
      </c>
      <c r="J437" s="5">
        <v>99758.75</v>
      </c>
      <c r="K437" s="7">
        <v>105240</v>
      </c>
      <c r="L437" s="5">
        <v>-5481.25</v>
      </c>
      <c r="M437" s="1">
        <v>41944</v>
      </c>
      <c r="N437">
        <v>11</v>
      </c>
      <c r="O437" t="s">
        <v>28</v>
      </c>
      <c r="P437" t="s">
        <v>12</v>
      </c>
      <c r="Q437" s="5">
        <f>tbl_financials[[#This Row],[Net_Sales]]</f>
        <v>99758.75</v>
      </c>
      <c r="R437" s="5">
        <f>ROUND(tbl_financials[[#This Row],[Revenue]]*(0.12+MOD(ROW(),7)/100),2)</f>
        <v>14963.81</v>
      </c>
      <c r="S437" s="7">
        <f t="shared" si="6"/>
        <v>5547</v>
      </c>
      <c r="T437" s="5">
        <f>tbl_financials[[#This Row],[Gross_Profit]]-tbl_financials[[#This Row],[Operating_Expenses]]+tbl_financials[[#This Row],[Other_Income]]</f>
        <v>-14898.059999999998</v>
      </c>
      <c r="U437" s="11">
        <f>IF(tbl_financials[[#This Row],[Revenue]]=0,0,tbl_financials[[#This Row],[Net_Profit]]/tbl_financials[[#This Row],[Revenue]])</f>
        <v>-0.14934088488478453</v>
      </c>
      <c r="V437" s="11" t="str">
        <f>tbl_financials[[#This Row],[Month_Name]] &amp; "_" &amp; tbl_financials[[#This Row],[Year]]</f>
        <v>November_2014</v>
      </c>
      <c r="W437" s="11" t="str">
        <f>tbl_financials[[#This Row],[Month_Name]] &amp; "_" &amp; (tbl_financials[[#This Row],[Year]]-1)</f>
        <v>November_2013</v>
      </c>
      <c r="X43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-0.83476811594202893</v>
      </c>
    </row>
    <row r="438" spans="1:24" x14ac:dyDescent="0.3">
      <c r="A438" t="s">
        <v>7</v>
      </c>
      <c r="B438" t="s">
        <v>14</v>
      </c>
      <c r="C438" t="s">
        <v>37</v>
      </c>
      <c r="D438" t="s">
        <v>40</v>
      </c>
      <c r="E438" s="9">
        <v>2071</v>
      </c>
      <c r="F438" s="7">
        <v>260</v>
      </c>
      <c r="G438" s="7">
        <v>350</v>
      </c>
      <c r="H438" s="7">
        <v>724850</v>
      </c>
      <c r="I438" s="5">
        <v>65236.5</v>
      </c>
      <c r="J438" s="5">
        <v>659613.5</v>
      </c>
      <c r="K438" s="7">
        <v>538460</v>
      </c>
      <c r="L438" s="5">
        <v>121153.5</v>
      </c>
      <c r="M438" s="1">
        <v>41883</v>
      </c>
      <c r="N438">
        <v>9</v>
      </c>
      <c r="O438" t="s">
        <v>26</v>
      </c>
      <c r="P438" t="s">
        <v>12</v>
      </c>
      <c r="Q438" s="5">
        <f>tbl_financials[[#This Row],[Net_Sales]]</f>
        <v>659613.5</v>
      </c>
      <c r="R438" s="5">
        <f>ROUND(tbl_financials[[#This Row],[Revenue]]*(0.12+MOD(ROW(),7)/100),2)</f>
        <v>105538.16</v>
      </c>
      <c r="S438" s="7">
        <f t="shared" si="6"/>
        <v>5578</v>
      </c>
      <c r="T438" s="5">
        <f>tbl_financials[[#This Row],[Gross_Profit]]-tbl_financials[[#This Row],[Operating_Expenses]]+tbl_financials[[#This Row],[Other_Income]]</f>
        <v>21193.339999999997</v>
      </c>
      <c r="U438" s="11">
        <f>IF(tbl_financials[[#This Row],[Revenue]]=0,0,tbl_financials[[#This Row],[Net_Profit]]/tbl_financials[[#This Row],[Revenue]])</f>
        <v>3.2129936697778312E-2</v>
      </c>
      <c r="V438" s="11" t="str">
        <f>tbl_financials[[#This Row],[Month_Name]] &amp; "_" &amp; tbl_financials[[#This Row],[Year]]</f>
        <v>September_2014</v>
      </c>
      <c r="W438" s="11" t="str">
        <f>tbl_financials[[#This Row],[Month_Name]] &amp; "_" &amp; (tbl_financials[[#This Row],[Year]]-1)</f>
        <v>September_2013</v>
      </c>
      <c r="X43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79.098785670916826</v>
      </c>
    </row>
    <row r="439" spans="1:24" x14ac:dyDescent="0.3">
      <c r="A439" t="s">
        <v>7</v>
      </c>
      <c r="B439" t="s">
        <v>13</v>
      </c>
      <c r="C439" t="s">
        <v>37</v>
      </c>
      <c r="D439" t="s">
        <v>40</v>
      </c>
      <c r="E439" s="9">
        <v>1269</v>
      </c>
      <c r="F439" s="7">
        <v>260</v>
      </c>
      <c r="G439" s="7">
        <v>350</v>
      </c>
      <c r="H439" s="7">
        <v>444150</v>
      </c>
      <c r="I439" s="5">
        <v>39973.5</v>
      </c>
      <c r="J439" s="5">
        <v>404176.5</v>
      </c>
      <c r="K439" s="7">
        <v>329940</v>
      </c>
      <c r="L439" s="5">
        <v>74236.5</v>
      </c>
      <c r="M439" s="1">
        <v>41913</v>
      </c>
      <c r="N439">
        <v>10</v>
      </c>
      <c r="O439" t="s">
        <v>27</v>
      </c>
      <c r="P439" t="s">
        <v>12</v>
      </c>
      <c r="Q439" s="5">
        <f>tbl_financials[[#This Row],[Net_Sales]]</f>
        <v>404176.5</v>
      </c>
      <c r="R439" s="5">
        <f>ROUND(tbl_financials[[#This Row],[Revenue]]*(0.12+MOD(ROW(),7)/100),2)</f>
        <v>68710.009999999995</v>
      </c>
      <c r="S439" s="7">
        <f t="shared" si="6"/>
        <v>5609</v>
      </c>
      <c r="T439" s="5">
        <f>tbl_financials[[#This Row],[Gross_Profit]]-tbl_financials[[#This Row],[Operating_Expenses]]+tbl_financials[[#This Row],[Other_Income]]</f>
        <v>11135.490000000005</v>
      </c>
      <c r="U439" s="11">
        <f>IF(tbl_financials[[#This Row],[Revenue]]=0,0,tbl_financials[[#This Row],[Net_Profit]]/tbl_financials[[#This Row],[Revenue]])</f>
        <v>2.7551057520662395E-2</v>
      </c>
      <c r="V439" s="11" t="str">
        <f>tbl_financials[[#This Row],[Month_Name]] &amp; "_" &amp; tbl_financials[[#This Row],[Year]]</f>
        <v>October_2014</v>
      </c>
      <c r="W439" s="11" t="str">
        <f>tbl_financials[[#This Row],[Month_Name]] &amp; "_" &amp; (tbl_financials[[#This Row],[Year]]-1)</f>
        <v>October_2013</v>
      </c>
      <c r="X43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8.3722086956521746</v>
      </c>
    </row>
    <row r="440" spans="1:24" x14ac:dyDescent="0.3">
      <c r="A440" t="s">
        <v>5</v>
      </c>
      <c r="B440" t="s">
        <v>16</v>
      </c>
      <c r="C440" t="s">
        <v>37</v>
      </c>
      <c r="D440" t="s">
        <v>40</v>
      </c>
      <c r="E440" s="9">
        <v>970</v>
      </c>
      <c r="F440" s="7">
        <v>260</v>
      </c>
      <c r="G440" s="7">
        <v>15</v>
      </c>
      <c r="H440" s="7">
        <v>14550</v>
      </c>
      <c r="I440" s="5">
        <v>1309.5</v>
      </c>
      <c r="J440" s="5">
        <v>13240.5</v>
      </c>
      <c r="K440" s="7">
        <v>9700</v>
      </c>
      <c r="L440" s="5">
        <v>3540.5</v>
      </c>
      <c r="M440" s="1">
        <v>41579</v>
      </c>
      <c r="N440">
        <v>11</v>
      </c>
      <c r="O440" t="s">
        <v>28</v>
      </c>
      <c r="P440" t="s">
        <v>11</v>
      </c>
      <c r="Q440" s="5">
        <f>tbl_financials[[#This Row],[Net_Sales]]</f>
        <v>13240.5</v>
      </c>
      <c r="R440" s="5">
        <f>ROUND(tbl_financials[[#This Row],[Revenue]]*(0.12+MOD(ROW(),7)/100),2)</f>
        <v>2383.29</v>
      </c>
      <c r="S440" s="7">
        <f t="shared" si="6"/>
        <v>5640</v>
      </c>
      <c r="T440" s="5">
        <f>tbl_financials[[#This Row],[Gross_Profit]]-tbl_financials[[#This Row],[Operating_Expenses]]+tbl_financials[[#This Row],[Other_Income]]</f>
        <v>6797.21</v>
      </c>
      <c r="U440" s="11">
        <f>IF(tbl_financials[[#This Row],[Revenue]]=0,0,tbl_financials[[#This Row],[Net_Profit]]/tbl_financials[[#This Row],[Revenue]])</f>
        <v>0.5133650541897965</v>
      </c>
      <c r="V440" s="11" t="str">
        <f>tbl_financials[[#This Row],[Month_Name]] &amp; "_" &amp; tbl_financials[[#This Row],[Year]]</f>
        <v>November_2013</v>
      </c>
      <c r="W440" s="11" t="str">
        <f>tbl_financials[[#This Row],[Month_Name]] &amp; "_" &amp; (tbl_financials[[#This Row],[Year]]-1)</f>
        <v>November_2012</v>
      </c>
      <c r="X44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41" spans="1:24" x14ac:dyDescent="0.3">
      <c r="A441" t="s">
        <v>7</v>
      </c>
      <c r="B441" t="s">
        <v>17</v>
      </c>
      <c r="C441" t="s">
        <v>37</v>
      </c>
      <c r="D441" t="s">
        <v>40</v>
      </c>
      <c r="E441" s="9">
        <v>1694</v>
      </c>
      <c r="F441" s="7">
        <v>260</v>
      </c>
      <c r="G441" s="7">
        <v>20</v>
      </c>
      <c r="H441" s="7">
        <v>33880</v>
      </c>
      <c r="I441" s="5">
        <v>3049.2</v>
      </c>
      <c r="J441" s="5">
        <v>30830.799999999999</v>
      </c>
      <c r="K441" s="7">
        <v>16940</v>
      </c>
      <c r="L441" s="5">
        <v>13890.8</v>
      </c>
      <c r="M441" s="1">
        <v>41944</v>
      </c>
      <c r="N441">
        <v>11</v>
      </c>
      <c r="O441" t="s">
        <v>28</v>
      </c>
      <c r="P441" t="s">
        <v>12</v>
      </c>
      <c r="Q441" s="5">
        <f>tbl_financials[[#This Row],[Net_Sales]]</f>
        <v>30830.799999999999</v>
      </c>
      <c r="R441" s="5">
        <f>ROUND(tbl_financials[[#This Row],[Revenue]]*(0.12+MOD(ROW(),7)/100),2)</f>
        <v>3699.7</v>
      </c>
      <c r="S441" s="7">
        <f t="shared" si="6"/>
        <v>5671</v>
      </c>
      <c r="T441" s="5">
        <f>tbl_financials[[#This Row],[Gross_Profit]]-tbl_financials[[#This Row],[Operating_Expenses]]+tbl_financials[[#This Row],[Other_Income]]</f>
        <v>15862.099999999999</v>
      </c>
      <c r="U441" s="11">
        <f>IF(tbl_financials[[#This Row],[Revenue]]=0,0,tbl_financials[[#This Row],[Net_Profit]]/tbl_financials[[#This Row],[Revenue]])</f>
        <v>0.51448875799525151</v>
      </c>
      <c r="V441" s="11" t="str">
        <f>tbl_financials[[#This Row],[Month_Name]] &amp; "_" &amp; tbl_financials[[#This Row],[Year]]</f>
        <v>November_2014</v>
      </c>
      <c r="W441" s="11" t="str">
        <f>tbl_financials[[#This Row],[Month_Name]] &amp; "_" &amp; (tbl_financials[[#This Row],[Year]]-1)</f>
        <v>November_2013</v>
      </c>
      <c r="X44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-0.94893449275362307</v>
      </c>
    </row>
    <row r="442" spans="1:24" x14ac:dyDescent="0.3">
      <c r="A442" t="s">
        <v>7</v>
      </c>
      <c r="B442" t="s">
        <v>16</v>
      </c>
      <c r="C442" t="s">
        <v>32</v>
      </c>
      <c r="D442" t="s">
        <v>40</v>
      </c>
      <c r="E442" s="9">
        <v>663</v>
      </c>
      <c r="F442" s="7">
        <v>3</v>
      </c>
      <c r="G442" s="7">
        <v>20</v>
      </c>
      <c r="H442" s="7">
        <v>13260</v>
      </c>
      <c r="I442" s="5">
        <v>1193.4000000000001</v>
      </c>
      <c r="J442" s="5">
        <v>12066.6</v>
      </c>
      <c r="K442" s="7">
        <v>6630</v>
      </c>
      <c r="L442" s="5">
        <v>5436.6</v>
      </c>
      <c r="M442" s="1">
        <v>41760</v>
      </c>
      <c r="N442">
        <v>5</v>
      </c>
      <c r="O442" t="s">
        <v>22</v>
      </c>
      <c r="P442" t="s">
        <v>12</v>
      </c>
      <c r="Q442" s="5">
        <f>tbl_financials[[#This Row],[Net_Sales]]</f>
        <v>12066.6</v>
      </c>
      <c r="R442" s="5">
        <f>ROUND(tbl_financials[[#This Row],[Revenue]]*(0.12+MOD(ROW(),7)/100),2)</f>
        <v>1568.66</v>
      </c>
      <c r="S442" s="7">
        <f t="shared" si="6"/>
        <v>5702</v>
      </c>
      <c r="T442" s="5">
        <f>tbl_financials[[#This Row],[Gross_Profit]]-tbl_financials[[#This Row],[Operating_Expenses]]+tbl_financials[[#This Row],[Other_Income]]</f>
        <v>9569.94</v>
      </c>
      <c r="U442" s="11">
        <f>IF(tbl_financials[[#This Row],[Revenue]]=0,0,tbl_financials[[#This Row],[Net_Profit]]/tbl_financials[[#This Row],[Revenue]])</f>
        <v>0.79309333200735921</v>
      </c>
      <c r="V442" s="11" t="str">
        <f>tbl_financials[[#This Row],[Month_Name]] &amp; "_" &amp; tbl_financials[[#This Row],[Year]]</f>
        <v>May_2014</v>
      </c>
      <c r="W442" s="11" t="str">
        <f>tbl_financials[[#This Row],[Month_Name]] &amp; "_" &amp; (tbl_financials[[#This Row],[Year]]-1)</f>
        <v>May_2013</v>
      </c>
      <c r="X44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43" spans="1:24" x14ac:dyDescent="0.3">
      <c r="A443" t="s">
        <v>7</v>
      </c>
      <c r="B443" t="s">
        <v>13</v>
      </c>
      <c r="C443" t="s">
        <v>32</v>
      </c>
      <c r="D443" t="s">
        <v>40</v>
      </c>
      <c r="E443" s="9">
        <v>819</v>
      </c>
      <c r="F443" s="7">
        <v>3</v>
      </c>
      <c r="G443" s="7">
        <v>7</v>
      </c>
      <c r="H443" s="7">
        <v>5733</v>
      </c>
      <c r="I443" s="5">
        <v>515.97</v>
      </c>
      <c r="J443" s="5">
        <v>5217.03</v>
      </c>
      <c r="K443" s="7">
        <v>4095</v>
      </c>
      <c r="L443" s="5">
        <v>1122.03</v>
      </c>
      <c r="M443" s="1">
        <v>41821</v>
      </c>
      <c r="N443">
        <v>7</v>
      </c>
      <c r="O443" t="s">
        <v>24</v>
      </c>
      <c r="P443" t="s">
        <v>12</v>
      </c>
      <c r="Q443" s="5">
        <f>tbl_financials[[#This Row],[Net_Sales]]</f>
        <v>5217.03</v>
      </c>
      <c r="R443" s="5">
        <f>ROUND(tbl_financials[[#This Row],[Revenue]]*(0.12+MOD(ROW(),7)/100),2)</f>
        <v>730.38</v>
      </c>
      <c r="S443" s="7">
        <f t="shared" si="6"/>
        <v>5733</v>
      </c>
      <c r="T443" s="5">
        <f>tbl_financials[[#This Row],[Gross_Profit]]-tbl_financials[[#This Row],[Operating_Expenses]]+tbl_financials[[#This Row],[Other_Income]]</f>
        <v>6124.65</v>
      </c>
      <c r="U443" s="11">
        <f>IF(tbl_financials[[#This Row],[Revenue]]=0,0,tbl_financials[[#This Row],[Net_Profit]]/tbl_financials[[#This Row],[Revenue]])</f>
        <v>1.1739725475989211</v>
      </c>
      <c r="V443" s="11" t="str">
        <f>tbl_financials[[#This Row],[Month_Name]] &amp; "_" &amp; tbl_financials[[#This Row],[Year]]</f>
        <v>July_2014</v>
      </c>
      <c r="W443" s="11" t="str">
        <f>tbl_financials[[#This Row],[Month_Name]] &amp; "_" &amp; (tbl_financials[[#This Row],[Year]]-1)</f>
        <v>July_2013</v>
      </c>
      <c r="X44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44" spans="1:24" x14ac:dyDescent="0.3">
      <c r="A444" t="s">
        <v>8</v>
      </c>
      <c r="B444" t="s">
        <v>16</v>
      </c>
      <c r="C444" t="s">
        <v>32</v>
      </c>
      <c r="D444" t="s">
        <v>40</v>
      </c>
      <c r="E444" s="9">
        <v>1580</v>
      </c>
      <c r="F444" s="7">
        <v>3</v>
      </c>
      <c r="G444" s="7">
        <v>12</v>
      </c>
      <c r="H444" s="7">
        <v>18960</v>
      </c>
      <c r="I444" s="5">
        <v>1706.4</v>
      </c>
      <c r="J444" s="5">
        <v>17253.599999999999</v>
      </c>
      <c r="K444" s="7">
        <v>4740</v>
      </c>
      <c r="L444" s="5">
        <v>12513.5999999999</v>
      </c>
      <c r="M444" s="1">
        <v>41883</v>
      </c>
      <c r="N444">
        <v>9</v>
      </c>
      <c r="O444" t="s">
        <v>26</v>
      </c>
      <c r="P444" t="s">
        <v>12</v>
      </c>
      <c r="Q444" s="5">
        <f>tbl_financials[[#This Row],[Net_Sales]]</f>
        <v>17253.599999999999</v>
      </c>
      <c r="R444" s="5">
        <f>ROUND(tbl_financials[[#This Row],[Revenue]]*(0.12+MOD(ROW(),7)/100),2)</f>
        <v>2588.04</v>
      </c>
      <c r="S444" s="7">
        <f t="shared" si="6"/>
        <v>5764</v>
      </c>
      <c r="T444" s="5">
        <f>tbl_financials[[#This Row],[Gross_Profit]]-tbl_financials[[#This Row],[Operating_Expenses]]+tbl_financials[[#This Row],[Other_Income]]</f>
        <v>15689.559999999899</v>
      </c>
      <c r="U444" s="11">
        <f>IF(tbl_financials[[#This Row],[Revenue]]=0,0,tbl_financials[[#This Row],[Net_Profit]]/tbl_financials[[#This Row],[Revenue]])</f>
        <v>0.90934993276764853</v>
      </c>
      <c r="V444" s="11" t="str">
        <f>tbl_financials[[#This Row],[Month_Name]] &amp; "_" &amp; tbl_financials[[#This Row],[Year]]</f>
        <v>September_2014</v>
      </c>
      <c r="W444" s="11" t="str">
        <f>tbl_financials[[#This Row],[Month_Name]] &amp; "_" &amp; (tbl_financials[[#This Row],[Year]]-1)</f>
        <v>September_2013</v>
      </c>
      <c r="X44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1.0951548269581055</v>
      </c>
    </row>
    <row r="445" spans="1:24" x14ac:dyDescent="0.3">
      <c r="A445" t="s">
        <v>7</v>
      </c>
      <c r="B445" t="s">
        <v>17</v>
      </c>
      <c r="C445" t="s">
        <v>32</v>
      </c>
      <c r="D445" t="s">
        <v>40</v>
      </c>
      <c r="E445" s="9">
        <v>521</v>
      </c>
      <c r="F445" s="7">
        <v>3</v>
      </c>
      <c r="G445" s="7">
        <v>7</v>
      </c>
      <c r="H445" s="7">
        <v>3647</v>
      </c>
      <c r="I445" s="5">
        <v>328.23</v>
      </c>
      <c r="J445" s="5">
        <v>3318.77</v>
      </c>
      <c r="K445" s="7">
        <v>2605</v>
      </c>
      <c r="L445" s="5">
        <v>713.77</v>
      </c>
      <c r="M445" s="1">
        <v>41974</v>
      </c>
      <c r="N445">
        <v>12</v>
      </c>
      <c r="O445" t="s">
        <v>29</v>
      </c>
      <c r="P445" t="s">
        <v>12</v>
      </c>
      <c r="Q445" s="5">
        <f>tbl_financials[[#This Row],[Net_Sales]]</f>
        <v>3318.77</v>
      </c>
      <c r="R445" s="5">
        <f>ROUND(tbl_financials[[#This Row],[Revenue]]*(0.12+MOD(ROW(),7)/100),2)</f>
        <v>531</v>
      </c>
      <c r="S445" s="7">
        <f t="shared" si="6"/>
        <v>5795</v>
      </c>
      <c r="T445" s="5">
        <f>tbl_financials[[#This Row],[Gross_Profit]]-tbl_financials[[#This Row],[Operating_Expenses]]+tbl_financials[[#This Row],[Other_Income]]</f>
        <v>5977.77</v>
      </c>
      <c r="U445" s="11">
        <f>IF(tbl_financials[[#This Row],[Revenue]]=0,0,tbl_financials[[#This Row],[Net_Profit]]/tbl_financials[[#This Row],[Revenue]])</f>
        <v>1.8012004447430827</v>
      </c>
      <c r="V445" s="11" t="str">
        <f>tbl_financials[[#This Row],[Month_Name]] &amp; "_" &amp; tbl_financials[[#This Row],[Year]]</f>
        <v>December_2014</v>
      </c>
      <c r="W445" s="11" t="str">
        <f>tbl_financials[[#This Row],[Month_Name]] &amp; "_" &amp; (tbl_financials[[#This Row],[Year]]-1)</f>
        <v>December_2013</v>
      </c>
      <c r="X44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-0.89718804213135062</v>
      </c>
    </row>
    <row r="446" spans="1:24" x14ac:dyDescent="0.3">
      <c r="A446" t="s">
        <v>7</v>
      </c>
      <c r="B446" t="s">
        <v>14</v>
      </c>
      <c r="C446" t="s">
        <v>34</v>
      </c>
      <c r="D446" t="s">
        <v>40</v>
      </c>
      <c r="E446" s="9">
        <v>973</v>
      </c>
      <c r="F446" s="7">
        <v>10</v>
      </c>
      <c r="G446" s="7">
        <v>20</v>
      </c>
      <c r="H446" s="7">
        <v>19460</v>
      </c>
      <c r="I446" s="5">
        <v>1751.4</v>
      </c>
      <c r="J446" s="5">
        <v>17708.599999999999</v>
      </c>
      <c r="K446" s="7">
        <v>9730</v>
      </c>
      <c r="L446" s="5">
        <v>7978.5999999999904</v>
      </c>
      <c r="M446" s="1">
        <v>41699</v>
      </c>
      <c r="N446">
        <v>3</v>
      </c>
      <c r="O446" t="s">
        <v>20</v>
      </c>
      <c r="P446" t="s">
        <v>12</v>
      </c>
      <c r="Q446" s="5">
        <f>tbl_financials[[#This Row],[Net_Sales]]</f>
        <v>17708.599999999999</v>
      </c>
      <c r="R446" s="5">
        <f>ROUND(tbl_financials[[#This Row],[Revenue]]*(0.12+MOD(ROW(),7)/100),2)</f>
        <v>3010.46</v>
      </c>
      <c r="S446" s="7">
        <f t="shared" si="6"/>
        <v>5826</v>
      </c>
      <c r="T446" s="5">
        <f>tbl_financials[[#This Row],[Gross_Profit]]-tbl_financials[[#This Row],[Operating_Expenses]]+tbl_financials[[#This Row],[Other_Income]]</f>
        <v>10794.13999999999</v>
      </c>
      <c r="U446" s="11">
        <f>IF(tbl_financials[[#This Row],[Revenue]]=0,0,tbl_financials[[#This Row],[Net_Profit]]/tbl_financials[[#This Row],[Revenue]])</f>
        <v>0.60954225630484571</v>
      </c>
      <c r="V446" s="11" t="str">
        <f>tbl_financials[[#This Row],[Month_Name]] &amp; "_" &amp; tbl_financials[[#This Row],[Year]]</f>
        <v>March_2014</v>
      </c>
      <c r="W446" s="11" t="str">
        <f>tbl_financials[[#This Row],[Month_Name]] &amp; "_" &amp; (tbl_financials[[#This Row],[Year]]-1)</f>
        <v>March_2013</v>
      </c>
      <c r="X44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47" spans="1:24" x14ac:dyDescent="0.3">
      <c r="A447" t="s">
        <v>7</v>
      </c>
      <c r="B447" t="s">
        <v>17</v>
      </c>
      <c r="C447" t="s">
        <v>34</v>
      </c>
      <c r="D447" t="s">
        <v>40</v>
      </c>
      <c r="E447" s="9">
        <v>1038</v>
      </c>
      <c r="F447" s="7">
        <v>10</v>
      </c>
      <c r="G447" s="7">
        <v>20</v>
      </c>
      <c r="H447" s="7">
        <v>20760</v>
      </c>
      <c r="I447" s="5">
        <v>1868.4</v>
      </c>
      <c r="J447" s="5">
        <v>18891.599999999999</v>
      </c>
      <c r="K447" s="7">
        <v>10380</v>
      </c>
      <c r="L447" s="5">
        <v>8511.5999999999894</v>
      </c>
      <c r="M447" s="1">
        <v>41791</v>
      </c>
      <c r="N447">
        <v>6</v>
      </c>
      <c r="O447" t="s">
        <v>23</v>
      </c>
      <c r="P447" t="s">
        <v>12</v>
      </c>
      <c r="Q447" s="5">
        <f>tbl_financials[[#This Row],[Net_Sales]]</f>
        <v>18891.599999999999</v>
      </c>
      <c r="R447" s="5">
        <f>ROUND(tbl_financials[[#This Row],[Revenue]]*(0.12+MOD(ROW(),7)/100),2)</f>
        <v>3400.49</v>
      </c>
      <c r="S447" s="7">
        <f t="shared" si="6"/>
        <v>5857</v>
      </c>
      <c r="T447" s="5">
        <f>tbl_financials[[#This Row],[Gross_Profit]]-tbl_financials[[#This Row],[Operating_Expenses]]+tbl_financials[[#This Row],[Other_Income]]</f>
        <v>10968.10999999999</v>
      </c>
      <c r="U447" s="11">
        <f>IF(tbl_financials[[#This Row],[Revenue]]=0,0,tbl_financials[[#This Row],[Net_Profit]]/tbl_financials[[#This Row],[Revenue]])</f>
        <v>0.58058131656397505</v>
      </c>
      <c r="V447" s="11" t="str">
        <f>tbl_financials[[#This Row],[Month_Name]] &amp; "_" &amp; tbl_financials[[#This Row],[Year]]</f>
        <v>June_2014</v>
      </c>
      <c r="W447" s="11" t="str">
        <f>tbl_financials[[#This Row],[Month_Name]] &amp; "_" &amp; (tbl_financials[[#This Row],[Year]]-1)</f>
        <v>June_2013</v>
      </c>
      <c r="X44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48" spans="1:24" x14ac:dyDescent="0.3">
      <c r="A448" t="s">
        <v>7</v>
      </c>
      <c r="B448" t="s">
        <v>16</v>
      </c>
      <c r="C448" t="s">
        <v>34</v>
      </c>
      <c r="D448" t="s">
        <v>40</v>
      </c>
      <c r="E448" s="9">
        <v>360</v>
      </c>
      <c r="F448" s="7">
        <v>10</v>
      </c>
      <c r="G448" s="7">
        <v>7</v>
      </c>
      <c r="H448" s="7">
        <v>2520</v>
      </c>
      <c r="I448" s="5">
        <v>226.8</v>
      </c>
      <c r="J448" s="5">
        <v>2293.1999999999998</v>
      </c>
      <c r="K448" s="7">
        <v>1800</v>
      </c>
      <c r="L448" s="5">
        <v>493.19999999999902</v>
      </c>
      <c r="M448" s="1">
        <v>41913</v>
      </c>
      <c r="N448">
        <v>10</v>
      </c>
      <c r="O448" t="s">
        <v>27</v>
      </c>
      <c r="P448" t="s">
        <v>12</v>
      </c>
      <c r="Q448" s="5">
        <f>tbl_financials[[#This Row],[Net_Sales]]</f>
        <v>2293.1999999999998</v>
      </c>
      <c r="R448" s="5">
        <f>ROUND(tbl_financials[[#This Row],[Revenue]]*(0.12+MOD(ROW(),7)/100),2)</f>
        <v>275.18</v>
      </c>
      <c r="S448" s="7">
        <f t="shared" si="6"/>
        <v>5888</v>
      </c>
      <c r="T448" s="5">
        <f>tbl_financials[[#This Row],[Gross_Profit]]-tbl_financials[[#This Row],[Operating_Expenses]]+tbl_financials[[#This Row],[Other_Income]]</f>
        <v>6106.0199999999986</v>
      </c>
      <c r="U448" s="11">
        <f>IF(tbl_financials[[#This Row],[Revenue]]=0,0,tbl_financials[[#This Row],[Net_Profit]]/tbl_financials[[#This Row],[Revenue]])</f>
        <v>2.6626635269492409</v>
      </c>
      <c r="V448" s="11" t="str">
        <f>tbl_financials[[#This Row],[Month_Name]] &amp; "_" &amp; tbl_financials[[#This Row],[Year]]</f>
        <v>October_2014</v>
      </c>
      <c r="W448" s="11" t="str">
        <f>tbl_financials[[#This Row],[Month_Name]] &amp; "_" &amp; (tbl_financials[[#This Row],[Year]]-1)</f>
        <v>October_2013</v>
      </c>
      <c r="X44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-0.94682434782608704</v>
      </c>
    </row>
    <row r="449" spans="1:24" x14ac:dyDescent="0.3">
      <c r="A449" t="s">
        <v>8</v>
      </c>
      <c r="B449" t="s">
        <v>15</v>
      </c>
      <c r="C449" t="s">
        <v>35</v>
      </c>
      <c r="D449" t="s">
        <v>40</v>
      </c>
      <c r="E449" s="9">
        <v>1967</v>
      </c>
      <c r="F449" s="7">
        <v>120</v>
      </c>
      <c r="G449" s="7">
        <v>12</v>
      </c>
      <c r="H449" s="7">
        <v>23604</v>
      </c>
      <c r="I449" s="5">
        <v>2124.36</v>
      </c>
      <c r="J449" s="5">
        <v>21479.64</v>
      </c>
      <c r="K449" s="7">
        <v>5901</v>
      </c>
      <c r="L449" s="5">
        <v>15578.64</v>
      </c>
      <c r="M449" s="1">
        <v>41699</v>
      </c>
      <c r="N449">
        <v>3</v>
      </c>
      <c r="O449" t="s">
        <v>20</v>
      </c>
      <c r="P449" t="s">
        <v>12</v>
      </c>
      <c r="Q449" s="5">
        <f>tbl_financials[[#This Row],[Net_Sales]]</f>
        <v>21479.64</v>
      </c>
      <c r="R449" s="5">
        <f>ROUND(tbl_financials[[#This Row],[Revenue]]*(0.12+MOD(ROW(),7)/100),2)</f>
        <v>2792.35</v>
      </c>
      <c r="S449" s="7">
        <f t="shared" si="6"/>
        <v>5919</v>
      </c>
      <c r="T449" s="5">
        <f>tbl_financials[[#This Row],[Gross_Profit]]-tbl_financials[[#This Row],[Operating_Expenses]]+tbl_financials[[#This Row],[Other_Income]]</f>
        <v>18705.29</v>
      </c>
      <c r="U449" s="11">
        <f>IF(tbl_financials[[#This Row],[Revenue]]=0,0,tbl_financials[[#This Row],[Net_Profit]]/tbl_financials[[#This Row],[Revenue]])</f>
        <v>0.87083815184984481</v>
      </c>
      <c r="V449" s="11" t="str">
        <f>tbl_financials[[#This Row],[Month_Name]] &amp; "_" &amp; tbl_financials[[#This Row],[Year]]</f>
        <v>March_2014</v>
      </c>
      <c r="W449" s="11" t="str">
        <f>tbl_financials[[#This Row],[Month_Name]] &amp; "_" &amp; (tbl_financials[[#This Row],[Year]]-1)</f>
        <v>March_2013</v>
      </c>
      <c r="X44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50" spans="1:24" x14ac:dyDescent="0.3">
      <c r="A450" t="s">
        <v>5</v>
      </c>
      <c r="B450" t="s">
        <v>17</v>
      </c>
      <c r="C450" t="s">
        <v>35</v>
      </c>
      <c r="D450" t="s">
        <v>40</v>
      </c>
      <c r="E450" s="9">
        <v>2628</v>
      </c>
      <c r="F450" s="7">
        <v>120</v>
      </c>
      <c r="G450" s="7">
        <v>15</v>
      </c>
      <c r="H450" s="7">
        <v>39420</v>
      </c>
      <c r="I450" s="5">
        <v>3547.8</v>
      </c>
      <c r="J450" s="5">
        <v>35872.199999999997</v>
      </c>
      <c r="K450" s="7">
        <v>26280</v>
      </c>
      <c r="L450" s="5">
        <v>9592.1999999999898</v>
      </c>
      <c r="M450" s="1">
        <v>41730</v>
      </c>
      <c r="N450">
        <v>4</v>
      </c>
      <c r="O450" t="s">
        <v>21</v>
      </c>
      <c r="P450" t="s">
        <v>12</v>
      </c>
      <c r="Q450" s="5">
        <f>tbl_financials[[#This Row],[Net_Sales]]</f>
        <v>35872.199999999997</v>
      </c>
      <c r="R450" s="5">
        <f>ROUND(tbl_financials[[#This Row],[Revenue]]*(0.12+MOD(ROW(),7)/100),2)</f>
        <v>5022.1099999999997</v>
      </c>
      <c r="S450" s="7">
        <f t="shared" ref="S450:S513" si="7">ROUND(1000+MOD(ROW()*31,9000),0)</f>
        <v>5950</v>
      </c>
      <c r="T450" s="5">
        <f>tbl_financials[[#This Row],[Gross_Profit]]-tbl_financials[[#This Row],[Operating_Expenses]]+tbl_financials[[#This Row],[Other_Income]]</f>
        <v>10520.089999999989</v>
      </c>
      <c r="U450" s="11">
        <f>IF(tbl_financials[[#This Row],[Revenue]]=0,0,tbl_financials[[#This Row],[Net_Profit]]/tbl_financials[[#This Row],[Revenue]])</f>
        <v>0.29326581586855532</v>
      </c>
      <c r="V450" s="11" t="str">
        <f>tbl_financials[[#This Row],[Month_Name]] &amp; "_" &amp; tbl_financials[[#This Row],[Year]]</f>
        <v>April_2014</v>
      </c>
      <c r="W450" s="11" t="str">
        <f>tbl_financials[[#This Row],[Month_Name]] &amp; "_" &amp; (tbl_financials[[#This Row],[Year]]-1)</f>
        <v>April_2013</v>
      </c>
      <c r="X45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51" spans="1:24" x14ac:dyDescent="0.3">
      <c r="A451" t="s">
        <v>7</v>
      </c>
      <c r="B451" t="s">
        <v>16</v>
      </c>
      <c r="C451" t="s">
        <v>36</v>
      </c>
      <c r="D451" t="s">
        <v>40</v>
      </c>
      <c r="E451" s="9">
        <v>360</v>
      </c>
      <c r="F451" s="7">
        <v>250</v>
      </c>
      <c r="G451" s="7">
        <v>7</v>
      </c>
      <c r="H451" s="7">
        <v>2520</v>
      </c>
      <c r="I451" s="5">
        <v>226.8</v>
      </c>
      <c r="J451" s="5">
        <v>2293.1999999999998</v>
      </c>
      <c r="K451" s="7">
        <v>1800</v>
      </c>
      <c r="L451" s="5">
        <v>493.19999999999902</v>
      </c>
      <c r="M451" s="1">
        <v>41913</v>
      </c>
      <c r="N451">
        <v>10</v>
      </c>
      <c r="O451" t="s">
        <v>27</v>
      </c>
      <c r="P451" t="s">
        <v>12</v>
      </c>
      <c r="Q451" s="5">
        <f>tbl_financials[[#This Row],[Net_Sales]]</f>
        <v>2293.1999999999998</v>
      </c>
      <c r="R451" s="5">
        <f>ROUND(tbl_financials[[#This Row],[Revenue]]*(0.12+MOD(ROW(),7)/100),2)</f>
        <v>343.98</v>
      </c>
      <c r="S451" s="7">
        <f t="shared" si="7"/>
        <v>5981</v>
      </c>
      <c r="T451" s="5">
        <f>tbl_financials[[#This Row],[Gross_Profit]]-tbl_financials[[#This Row],[Operating_Expenses]]+tbl_financials[[#This Row],[Other_Income]]</f>
        <v>6130.2199999999993</v>
      </c>
      <c r="U451" s="11">
        <f>IF(tbl_financials[[#This Row],[Revenue]]=0,0,tbl_financials[[#This Row],[Net_Profit]]/tbl_financials[[#This Row],[Revenue]])</f>
        <v>2.6732164660736091</v>
      </c>
      <c r="V451" s="11" t="str">
        <f>tbl_financials[[#This Row],[Month_Name]] &amp; "_" &amp; tbl_financials[[#This Row],[Year]]</f>
        <v>October_2014</v>
      </c>
      <c r="W451" s="11" t="str">
        <f>tbl_financials[[#This Row],[Month_Name]] &amp; "_" &amp; (tbl_financials[[#This Row],[Year]]-1)</f>
        <v>October_2013</v>
      </c>
      <c r="X45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-0.94682434782608704</v>
      </c>
    </row>
    <row r="452" spans="1:24" x14ac:dyDescent="0.3">
      <c r="A452" t="s">
        <v>7</v>
      </c>
      <c r="B452" t="s">
        <v>15</v>
      </c>
      <c r="C452" t="s">
        <v>36</v>
      </c>
      <c r="D452" t="s">
        <v>40</v>
      </c>
      <c r="E452" s="9">
        <v>2682</v>
      </c>
      <c r="F452" s="7">
        <v>250</v>
      </c>
      <c r="G452" s="7">
        <v>20</v>
      </c>
      <c r="H452" s="7">
        <v>53640</v>
      </c>
      <c r="I452" s="5">
        <v>4827.6000000000004</v>
      </c>
      <c r="J452" s="5">
        <v>48812.4</v>
      </c>
      <c r="K452" s="7">
        <v>26820</v>
      </c>
      <c r="L452" s="5">
        <v>21992.400000000001</v>
      </c>
      <c r="M452" s="1">
        <v>41579</v>
      </c>
      <c r="N452">
        <v>11</v>
      </c>
      <c r="O452" t="s">
        <v>28</v>
      </c>
      <c r="P452" t="s">
        <v>11</v>
      </c>
      <c r="Q452" s="5">
        <f>tbl_financials[[#This Row],[Net_Sales]]</f>
        <v>48812.4</v>
      </c>
      <c r="R452" s="5">
        <f>ROUND(tbl_financials[[#This Row],[Revenue]]*(0.12+MOD(ROW(),7)/100),2)</f>
        <v>7809.98</v>
      </c>
      <c r="S452" s="7">
        <f t="shared" si="7"/>
        <v>6012</v>
      </c>
      <c r="T452" s="5">
        <f>tbl_financials[[#This Row],[Gross_Profit]]-tbl_financials[[#This Row],[Operating_Expenses]]+tbl_financials[[#This Row],[Other_Income]]</f>
        <v>20194.420000000002</v>
      </c>
      <c r="U452" s="11">
        <f>IF(tbl_financials[[#This Row],[Revenue]]=0,0,tbl_financials[[#This Row],[Net_Profit]]/tbl_financials[[#This Row],[Revenue]])</f>
        <v>0.41371495767468924</v>
      </c>
      <c r="V452" s="11" t="str">
        <f>tbl_financials[[#This Row],[Month_Name]] &amp; "_" &amp; tbl_financials[[#This Row],[Year]]</f>
        <v>November_2013</v>
      </c>
      <c r="W452" s="11" t="str">
        <f>tbl_financials[[#This Row],[Month_Name]] &amp; "_" &amp; (tbl_financials[[#This Row],[Year]]-1)</f>
        <v>November_2012</v>
      </c>
      <c r="X45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53" spans="1:24" x14ac:dyDescent="0.3">
      <c r="A453" t="s">
        <v>7</v>
      </c>
      <c r="B453" t="s">
        <v>17</v>
      </c>
      <c r="C453" t="s">
        <v>36</v>
      </c>
      <c r="D453" t="s">
        <v>40</v>
      </c>
      <c r="E453" s="9">
        <v>521</v>
      </c>
      <c r="F453" s="7">
        <v>250</v>
      </c>
      <c r="G453" s="7">
        <v>7</v>
      </c>
      <c r="H453" s="7">
        <v>3647</v>
      </c>
      <c r="I453" s="5">
        <v>328.23</v>
      </c>
      <c r="J453" s="5">
        <v>3318.77</v>
      </c>
      <c r="K453" s="7">
        <v>2605</v>
      </c>
      <c r="L453" s="5">
        <v>713.77</v>
      </c>
      <c r="M453" s="1">
        <v>41974</v>
      </c>
      <c r="N453">
        <v>12</v>
      </c>
      <c r="O453" t="s">
        <v>29</v>
      </c>
      <c r="P453" t="s">
        <v>12</v>
      </c>
      <c r="Q453" s="5">
        <f>tbl_financials[[#This Row],[Net_Sales]]</f>
        <v>3318.77</v>
      </c>
      <c r="R453" s="5">
        <f>ROUND(tbl_financials[[#This Row],[Revenue]]*(0.12+MOD(ROW(),7)/100),2)</f>
        <v>564.19000000000005</v>
      </c>
      <c r="S453" s="7">
        <f t="shared" si="7"/>
        <v>6043</v>
      </c>
      <c r="T453" s="5">
        <f>tbl_financials[[#This Row],[Gross_Profit]]-tbl_financials[[#This Row],[Operating_Expenses]]+tbl_financials[[#This Row],[Other_Income]]</f>
        <v>6192.58</v>
      </c>
      <c r="U453" s="11">
        <f>IF(tbl_financials[[#This Row],[Revenue]]=0,0,tbl_financials[[#This Row],[Net_Profit]]/tbl_financials[[#This Row],[Revenue]])</f>
        <v>1.865926231706325</v>
      </c>
      <c r="V453" s="11" t="str">
        <f>tbl_financials[[#This Row],[Month_Name]] &amp; "_" &amp; tbl_financials[[#This Row],[Year]]</f>
        <v>December_2014</v>
      </c>
      <c r="W453" s="11" t="str">
        <f>tbl_financials[[#This Row],[Month_Name]] &amp; "_" &amp; (tbl_financials[[#This Row],[Year]]-1)</f>
        <v>December_2013</v>
      </c>
      <c r="X45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-0.89718804213135062</v>
      </c>
    </row>
    <row r="454" spans="1:24" x14ac:dyDescent="0.3">
      <c r="A454" t="s">
        <v>7</v>
      </c>
      <c r="B454" t="s">
        <v>17</v>
      </c>
      <c r="C454" t="s">
        <v>37</v>
      </c>
      <c r="D454" t="s">
        <v>40</v>
      </c>
      <c r="E454" s="9">
        <v>1038</v>
      </c>
      <c r="F454" s="7">
        <v>260</v>
      </c>
      <c r="G454" s="7">
        <v>20</v>
      </c>
      <c r="H454" s="7">
        <v>20760</v>
      </c>
      <c r="I454" s="5">
        <v>1868.4</v>
      </c>
      <c r="J454" s="5">
        <v>18891.599999999999</v>
      </c>
      <c r="K454" s="7">
        <v>10380</v>
      </c>
      <c r="L454" s="5">
        <v>8511.5999999999894</v>
      </c>
      <c r="M454" s="1">
        <v>41791</v>
      </c>
      <c r="N454">
        <v>6</v>
      </c>
      <c r="O454" t="s">
        <v>23</v>
      </c>
      <c r="P454" t="s">
        <v>12</v>
      </c>
      <c r="Q454" s="5">
        <f>tbl_financials[[#This Row],[Net_Sales]]</f>
        <v>18891.599999999999</v>
      </c>
      <c r="R454" s="5">
        <f>ROUND(tbl_financials[[#This Row],[Revenue]]*(0.12+MOD(ROW(),7)/100),2)</f>
        <v>3400.49</v>
      </c>
      <c r="S454" s="7">
        <f t="shared" si="7"/>
        <v>6074</v>
      </c>
      <c r="T454" s="5">
        <f>tbl_financials[[#This Row],[Gross_Profit]]-tbl_financials[[#This Row],[Operating_Expenses]]+tbl_financials[[#This Row],[Other_Income]]</f>
        <v>11185.10999999999</v>
      </c>
      <c r="U454" s="11">
        <f>IF(tbl_financials[[#This Row],[Revenue]]=0,0,tbl_financials[[#This Row],[Net_Profit]]/tbl_financials[[#This Row],[Revenue]])</f>
        <v>0.5920679031950703</v>
      </c>
      <c r="V454" s="11" t="str">
        <f>tbl_financials[[#This Row],[Month_Name]] &amp; "_" &amp; tbl_financials[[#This Row],[Year]]</f>
        <v>June_2014</v>
      </c>
      <c r="W454" s="11" t="str">
        <f>tbl_financials[[#This Row],[Month_Name]] &amp; "_" &amp; (tbl_financials[[#This Row],[Year]]-1)</f>
        <v>June_2013</v>
      </c>
      <c r="X45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55" spans="1:24" x14ac:dyDescent="0.3">
      <c r="A455" t="s">
        <v>5</v>
      </c>
      <c r="B455" t="s">
        <v>13</v>
      </c>
      <c r="C455" t="s">
        <v>37</v>
      </c>
      <c r="D455" t="s">
        <v>40</v>
      </c>
      <c r="E455" s="9">
        <v>1630.5</v>
      </c>
      <c r="F455" s="7">
        <v>260</v>
      </c>
      <c r="G455" s="7">
        <v>15</v>
      </c>
      <c r="H455" s="7">
        <v>24457.5</v>
      </c>
      <c r="I455" s="5">
        <v>2201.1750000000002</v>
      </c>
      <c r="J455" s="5">
        <v>22256.324999999899</v>
      </c>
      <c r="K455" s="7">
        <v>16305</v>
      </c>
      <c r="L455" s="5">
        <v>5951.3249999999898</v>
      </c>
      <c r="M455" s="1">
        <v>41821</v>
      </c>
      <c r="N455">
        <v>7</v>
      </c>
      <c r="O455" t="s">
        <v>24</v>
      </c>
      <c r="P455" t="s">
        <v>12</v>
      </c>
      <c r="Q455" s="5">
        <f>tbl_financials[[#This Row],[Net_Sales]]</f>
        <v>22256.324999999899</v>
      </c>
      <c r="R455" s="5">
        <f>ROUND(tbl_financials[[#This Row],[Revenue]]*(0.12+MOD(ROW(),7)/100),2)</f>
        <v>2670.76</v>
      </c>
      <c r="S455" s="7">
        <f t="shared" si="7"/>
        <v>6105</v>
      </c>
      <c r="T455" s="5">
        <f>tbl_financials[[#This Row],[Gross_Profit]]-tbl_financials[[#This Row],[Operating_Expenses]]+tbl_financials[[#This Row],[Other_Income]]</f>
        <v>9385.5649999999896</v>
      </c>
      <c r="U455" s="11">
        <f>IF(tbl_financials[[#This Row],[Revenue]]=0,0,tbl_financials[[#This Row],[Net_Profit]]/tbl_financials[[#This Row],[Revenue]])</f>
        <v>0.42170326862139335</v>
      </c>
      <c r="V455" s="11" t="str">
        <f>tbl_financials[[#This Row],[Month_Name]] &amp; "_" &amp; tbl_financials[[#This Row],[Year]]</f>
        <v>July_2014</v>
      </c>
      <c r="W455" s="11" t="str">
        <f>tbl_financials[[#This Row],[Month_Name]] &amp; "_" &amp; (tbl_financials[[#This Row],[Year]]-1)</f>
        <v>July_2013</v>
      </c>
      <c r="X45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56" spans="1:24" x14ac:dyDescent="0.3">
      <c r="A456" t="s">
        <v>8</v>
      </c>
      <c r="B456" t="s">
        <v>15</v>
      </c>
      <c r="C456" t="s">
        <v>37</v>
      </c>
      <c r="D456" t="s">
        <v>40</v>
      </c>
      <c r="E456" s="9">
        <v>306</v>
      </c>
      <c r="F456" s="7">
        <v>260</v>
      </c>
      <c r="G456" s="7">
        <v>12</v>
      </c>
      <c r="H456" s="7">
        <v>3672</v>
      </c>
      <c r="I456" s="5">
        <v>330.48</v>
      </c>
      <c r="J456" s="5">
        <v>3341.52</v>
      </c>
      <c r="K456" s="7">
        <v>918</v>
      </c>
      <c r="L456" s="5">
        <v>2423.52</v>
      </c>
      <c r="M456" s="1">
        <v>41609</v>
      </c>
      <c r="N456">
        <v>12</v>
      </c>
      <c r="O456" t="s">
        <v>29</v>
      </c>
      <c r="P456" t="s">
        <v>11</v>
      </c>
      <c r="Q456" s="5">
        <f>tbl_financials[[#This Row],[Net_Sales]]</f>
        <v>3341.52</v>
      </c>
      <c r="R456" s="5">
        <f>ROUND(tbl_financials[[#This Row],[Revenue]]*(0.12+MOD(ROW(),7)/100),2)</f>
        <v>434.4</v>
      </c>
      <c r="S456" s="7">
        <f t="shared" si="7"/>
        <v>6136</v>
      </c>
      <c r="T456" s="5">
        <f>tbl_financials[[#This Row],[Gross_Profit]]-tbl_financials[[#This Row],[Operating_Expenses]]+tbl_financials[[#This Row],[Other_Income]]</f>
        <v>8125.12</v>
      </c>
      <c r="U456" s="11">
        <f>IF(tbl_financials[[#This Row],[Revenue]]=0,0,tbl_financials[[#This Row],[Net_Profit]]/tbl_financials[[#This Row],[Revenue]])</f>
        <v>2.4315640786229022</v>
      </c>
      <c r="V456" s="11" t="str">
        <f>tbl_financials[[#This Row],[Month_Name]] &amp; "_" &amp; tbl_financials[[#This Row],[Year]]</f>
        <v>December_2013</v>
      </c>
      <c r="W456" s="11" t="str">
        <f>tbl_financials[[#This Row],[Month_Name]] &amp; "_" &amp; (tbl_financials[[#This Row],[Year]]-1)</f>
        <v>December_2012</v>
      </c>
      <c r="X45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57" spans="1:24" x14ac:dyDescent="0.3">
      <c r="A457" t="s">
        <v>8</v>
      </c>
      <c r="B457" t="s">
        <v>14</v>
      </c>
      <c r="C457" t="s">
        <v>32</v>
      </c>
      <c r="D457" t="s">
        <v>41</v>
      </c>
      <c r="E457" s="9">
        <v>386</v>
      </c>
      <c r="F457" s="7">
        <v>3</v>
      </c>
      <c r="G457" s="7">
        <v>12</v>
      </c>
      <c r="H457" s="7">
        <v>4632</v>
      </c>
      <c r="I457" s="5">
        <v>463.2</v>
      </c>
      <c r="J457" s="5">
        <v>4168.8</v>
      </c>
      <c r="K457" s="7">
        <v>1158</v>
      </c>
      <c r="L457" s="5">
        <v>3010.8</v>
      </c>
      <c r="M457" s="1">
        <v>41548</v>
      </c>
      <c r="N457">
        <v>10</v>
      </c>
      <c r="O457" t="s">
        <v>27</v>
      </c>
      <c r="P457" t="s">
        <v>11</v>
      </c>
      <c r="Q457" s="5">
        <f>tbl_financials[[#This Row],[Net_Sales]]</f>
        <v>4168.8</v>
      </c>
      <c r="R457" s="5">
        <f>ROUND(tbl_financials[[#This Row],[Revenue]]*(0.12+MOD(ROW(),7)/100),2)</f>
        <v>583.63</v>
      </c>
      <c r="S457" s="7">
        <f t="shared" si="7"/>
        <v>6167</v>
      </c>
      <c r="T457" s="5">
        <f>tbl_financials[[#This Row],[Gross_Profit]]-tbl_financials[[#This Row],[Operating_Expenses]]+tbl_financials[[#This Row],[Other_Income]]</f>
        <v>8594.17</v>
      </c>
      <c r="U457" s="11">
        <f>IF(tbl_financials[[#This Row],[Revenue]]=0,0,tbl_financials[[#This Row],[Net_Profit]]/tbl_financials[[#This Row],[Revenue]])</f>
        <v>2.0615452888121282</v>
      </c>
      <c r="V457" s="11" t="str">
        <f>tbl_financials[[#This Row],[Month_Name]] &amp; "_" &amp; tbl_financials[[#This Row],[Year]]</f>
        <v>October_2013</v>
      </c>
      <c r="W457" s="11" t="str">
        <f>tbl_financials[[#This Row],[Month_Name]] &amp; "_" &amp; (tbl_financials[[#This Row],[Year]]-1)</f>
        <v>October_2012</v>
      </c>
      <c r="X45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58" spans="1:24" x14ac:dyDescent="0.3">
      <c r="A458" t="s">
        <v>7</v>
      </c>
      <c r="B458" t="s">
        <v>14</v>
      </c>
      <c r="C458" t="s">
        <v>33</v>
      </c>
      <c r="D458" t="s">
        <v>41</v>
      </c>
      <c r="E458" s="9">
        <v>2328</v>
      </c>
      <c r="F458" s="7">
        <v>5</v>
      </c>
      <c r="G458" s="7">
        <v>7</v>
      </c>
      <c r="H458" s="7">
        <v>16296</v>
      </c>
      <c r="I458" s="5">
        <v>1629.6</v>
      </c>
      <c r="J458" s="5">
        <v>14666.4</v>
      </c>
      <c r="K458" s="7">
        <v>11640</v>
      </c>
      <c r="L458" s="5">
        <v>3026.3999999999901</v>
      </c>
      <c r="M458" s="1">
        <v>41883</v>
      </c>
      <c r="N458">
        <v>9</v>
      </c>
      <c r="O458" t="s">
        <v>26</v>
      </c>
      <c r="P458" t="s">
        <v>12</v>
      </c>
      <c r="Q458" s="5">
        <f>tbl_financials[[#This Row],[Net_Sales]]</f>
        <v>14666.4</v>
      </c>
      <c r="R458" s="5">
        <f>ROUND(tbl_financials[[#This Row],[Revenue]]*(0.12+MOD(ROW(),7)/100),2)</f>
        <v>2199.96</v>
      </c>
      <c r="S458" s="7">
        <f t="shared" si="7"/>
        <v>6198</v>
      </c>
      <c r="T458" s="5">
        <f>tbl_financials[[#This Row],[Gross_Profit]]-tbl_financials[[#This Row],[Operating_Expenses]]+tbl_financials[[#This Row],[Other_Income]]</f>
        <v>7024.4399999999896</v>
      </c>
      <c r="U458" s="11">
        <f>IF(tbl_financials[[#This Row],[Revenue]]=0,0,tbl_financials[[#This Row],[Net_Profit]]/tbl_financials[[#This Row],[Revenue]])</f>
        <v>0.47894779905089113</v>
      </c>
      <c r="V458" s="11" t="str">
        <f>tbl_financials[[#This Row],[Month_Name]] &amp; "_" &amp; tbl_financials[[#This Row],[Year]]</f>
        <v>September_2014</v>
      </c>
      <c r="W458" s="11" t="str">
        <f>tbl_financials[[#This Row],[Month_Name]] &amp; "_" &amp; (tbl_financials[[#This Row],[Year]]-1)</f>
        <v>September_2013</v>
      </c>
      <c r="X45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0.78098360655737697</v>
      </c>
    </row>
    <row r="459" spans="1:24" x14ac:dyDescent="0.3">
      <c r="A459" t="s">
        <v>8</v>
      </c>
      <c r="B459" t="s">
        <v>14</v>
      </c>
      <c r="C459" t="s">
        <v>34</v>
      </c>
      <c r="D459" t="s">
        <v>41</v>
      </c>
      <c r="E459" s="9">
        <v>386</v>
      </c>
      <c r="F459" s="7">
        <v>10</v>
      </c>
      <c r="G459" s="7">
        <v>12</v>
      </c>
      <c r="H459" s="7">
        <v>4632</v>
      </c>
      <c r="I459" s="5">
        <v>463.2</v>
      </c>
      <c r="J459" s="5">
        <v>4168.8</v>
      </c>
      <c r="K459" s="7">
        <v>1158</v>
      </c>
      <c r="L459" s="5">
        <v>3010.8</v>
      </c>
      <c r="M459" s="1">
        <v>41548</v>
      </c>
      <c r="N459">
        <v>10</v>
      </c>
      <c r="O459" t="s">
        <v>27</v>
      </c>
      <c r="P459" t="s">
        <v>11</v>
      </c>
      <c r="Q459" s="5">
        <f>tbl_financials[[#This Row],[Net_Sales]]</f>
        <v>4168.8</v>
      </c>
      <c r="R459" s="5">
        <f>ROUND(tbl_financials[[#This Row],[Revenue]]*(0.12+MOD(ROW(),7)/100),2)</f>
        <v>667.01</v>
      </c>
      <c r="S459" s="7">
        <f t="shared" si="7"/>
        <v>6229</v>
      </c>
      <c r="T459" s="5">
        <f>tbl_financials[[#This Row],[Gross_Profit]]-tbl_financials[[#This Row],[Operating_Expenses]]+tbl_financials[[#This Row],[Other_Income]]</f>
        <v>8572.7900000000009</v>
      </c>
      <c r="U459" s="11">
        <f>IF(tbl_financials[[#This Row],[Revenue]]=0,0,tbl_financials[[#This Row],[Net_Profit]]/tbl_financials[[#This Row],[Revenue]])</f>
        <v>2.0564167146421033</v>
      </c>
      <c r="V459" s="11" t="str">
        <f>tbl_financials[[#This Row],[Month_Name]] &amp; "_" &amp; tbl_financials[[#This Row],[Year]]</f>
        <v>October_2013</v>
      </c>
      <c r="W459" s="11" t="str">
        <f>tbl_financials[[#This Row],[Month_Name]] &amp; "_" &amp; (tbl_financials[[#This Row],[Year]]-1)</f>
        <v>October_2012</v>
      </c>
      <c r="X45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60" spans="1:24" x14ac:dyDescent="0.3">
      <c r="A460" t="s">
        <v>6</v>
      </c>
      <c r="B460" t="s">
        <v>14</v>
      </c>
      <c r="C460" t="s">
        <v>32</v>
      </c>
      <c r="D460" t="s">
        <v>41</v>
      </c>
      <c r="E460" s="9">
        <v>3445.5</v>
      </c>
      <c r="F460" s="7">
        <v>3</v>
      </c>
      <c r="G460" s="7">
        <v>125</v>
      </c>
      <c r="H460" s="7">
        <v>430687.5</v>
      </c>
      <c r="I460" s="5">
        <v>43068.75</v>
      </c>
      <c r="J460" s="5">
        <v>387618.75</v>
      </c>
      <c r="K460" s="7">
        <v>413460</v>
      </c>
      <c r="L460" s="5">
        <v>-25841.25</v>
      </c>
      <c r="M460" s="1">
        <v>41730</v>
      </c>
      <c r="N460">
        <v>4</v>
      </c>
      <c r="O460" t="s">
        <v>21</v>
      </c>
      <c r="P460" t="s">
        <v>12</v>
      </c>
      <c r="Q460" s="5">
        <f>tbl_financials[[#This Row],[Net_Sales]]</f>
        <v>387618.75</v>
      </c>
      <c r="R460" s="5">
        <f>ROUND(tbl_financials[[#This Row],[Revenue]]*(0.12+MOD(ROW(),7)/100),2)</f>
        <v>65895.19</v>
      </c>
      <c r="S460" s="7">
        <f t="shared" si="7"/>
        <v>6260</v>
      </c>
      <c r="T460" s="5">
        <f>tbl_financials[[#This Row],[Gross_Profit]]-tbl_financials[[#This Row],[Operating_Expenses]]+tbl_financials[[#This Row],[Other_Income]]</f>
        <v>-85476.44</v>
      </c>
      <c r="U460" s="11">
        <f>IF(tbl_financials[[#This Row],[Revenue]]=0,0,tbl_financials[[#This Row],[Net_Profit]]/tbl_financials[[#This Row],[Revenue]])</f>
        <v>-0.22051678356632645</v>
      </c>
      <c r="V460" s="11" t="str">
        <f>tbl_financials[[#This Row],[Month_Name]] &amp; "_" &amp; tbl_financials[[#This Row],[Year]]</f>
        <v>April_2014</v>
      </c>
      <c r="W460" s="11" t="str">
        <f>tbl_financials[[#This Row],[Month_Name]] &amp; "_" &amp; (tbl_financials[[#This Row],[Year]]-1)</f>
        <v>April_2013</v>
      </c>
      <c r="X46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61" spans="1:24" x14ac:dyDescent="0.3">
      <c r="A461" t="s">
        <v>6</v>
      </c>
      <c r="B461" t="s">
        <v>15</v>
      </c>
      <c r="C461" t="s">
        <v>32</v>
      </c>
      <c r="D461" t="s">
        <v>41</v>
      </c>
      <c r="E461" s="9">
        <v>1482</v>
      </c>
      <c r="F461" s="7">
        <v>3</v>
      </c>
      <c r="G461" s="7">
        <v>125</v>
      </c>
      <c r="H461" s="7">
        <v>185250</v>
      </c>
      <c r="I461" s="5">
        <v>18525</v>
      </c>
      <c r="J461" s="5">
        <v>166725</v>
      </c>
      <c r="K461" s="7">
        <v>177840</v>
      </c>
      <c r="L461" s="5">
        <v>-11115</v>
      </c>
      <c r="M461" s="1">
        <v>41609</v>
      </c>
      <c r="N461">
        <v>12</v>
      </c>
      <c r="O461" t="s">
        <v>29</v>
      </c>
      <c r="P461" t="s">
        <v>11</v>
      </c>
      <c r="Q461" s="5">
        <f>tbl_financials[[#This Row],[Net_Sales]]</f>
        <v>166725</v>
      </c>
      <c r="R461" s="5">
        <f>ROUND(tbl_financials[[#This Row],[Revenue]]*(0.12+MOD(ROW(),7)/100),2)</f>
        <v>30010.5</v>
      </c>
      <c r="S461" s="7">
        <f t="shared" si="7"/>
        <v>6291</v>
      </c>
      <c r="T461" s="5">
        <f>tbl_financials[[#This Row],[Gross_Profit]]-tbl_financials[[#This Row],[Operating_Expenses]]+tbl_financials[[#This Row],[Other_Income]]</f>
        <v>-34834.5</v>
      </c>
      <c r="U461" s="11">
        <f>IF(tbl_financials[[#This Row],[Revenue]]=0,0,tbl_financials[[#This Row],[Net_Profit]]/tbl_financials[[#This Row],[Revenue]])</f>
        <v>-0.20893387314439946</v>
      </c>
      <c r="V461" s="11" t="str">
        <f>tbl_financials[[#This Row],[Month_Name]] &amp; "_" &amp; tbl_financials[[#This Row],[Year]]</f>
        <v>December_2013</v>
      </c>
      <c r="W461" s="11" t="str">
        <f>tbl_financials[[#This Row],[Month_Name]] &amp; "_" &amp; (tbl_financials[[#This Row],[Year]]-1)</f>
        <v>December_2012</v>
      </c>
      <c r="X46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62" spans="1:24" x14ac:dyDescent="0.3">
      <c r="A462" t="s">
        <v>7</v>
      </c>
      <c r="B462" t="s">
        <v>14</v>
      </c>
      <c r="C462" t="s">
        <v>33</v>
      </c>
      <c r="D462" t="s">
        <v>41</v>
      </c>
      <c r="E462" s="9">
        <v>2313</v>
      </c>
      <c r="F462" s="7">
        <v>5</v>
      </c>
      <c r="G462" s="7">
        <v>350</v>
      </c>
      <c r="H462" s="7">
        <v>809550</v>
      </c>
      <c r="I462" s="5">
        <v>80955</v>
      </c>
      <c r="J462" s="5">
        <v>728595</v>
      </c>
      <c r="K462" s="7">
        <v>601380</v>
      </c>
      <c r="L462" s="5">
        <v>127215</v>
      </c>
      <c r="M462" s="1">
        <v>41760</v>
      </c>
      <c r="N462">
        <v>5</v>
      </c>
      <c r="O462" t="s">
        <v>22</v>
      </c>
      <c r="P462" t="s">
        <v>12</v>
      </c>
      <c r="Q462" s="5">
        <f>tbl_financials[[#This Row],[Net_Sales]]</f>
        <v>728595</v>
      </c>
      <c r="R462" s="5">
        <f>ROUND(tbl_financials[[#This Row],[Revenue]]*(0.12+MOD(ROW(),7)/100),2)</f>
        <v>87431.4</v>
      </c>
      <c r="S462" s="7">
        <f t="shared" si="7"/>
        <v>6322</v>
      </c>
      <c r="T462" s="5">
        <f>tbl_financials[[#This Row],[Gross_Profit]]-tbl_financials[[#This Row],[Operating_Expenses]]+tbl_financials[[#This Row],[Other_Income]]</f>
        <v>46105.600000000006</v>
      </c>
      <c r="U462" s="11">
        <f>IF(tbl_financials[[#This Row],[Revenue]]=0,0,tbl_financials[[#This Row],[Net_Profit]]/tbl_financials[[#This Row],[Revenue]])</f>
        <v>6.3280148779500278E-2</v>
      </c>
      <c r="V462" s="11" t="str">
        <f>tbl_financials[[#This Row],[Month_Name]] &amp; "_" &amp; tbl_financials[[#This Row],[Year]]</f>
        <v>May_2014</v>
      </c>
      <c r="W462" s="11" t="str">
        <f>tbl_financials[[#This Row],[Month_Name]] &amp; "_" &amp; (tbl_financials[[#This Row],[Year]]-1)</f>
        <v>May_2013</v>
      </c>
      <c r="X46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63" spans="1:24" x14ac:dyDescent="0.3">
      <c r="A463" t="s">
        <v>6</v>
      </c>
      <c r="B463" t="s">
        <v>14</v>
      </c>
      <c r="C463" t="s">
        <v>33</v>
      </c>
      <c r="D463" t="s">
        <v>41</v>
      </c>
      <c r="E463" s="9">
        <v>1804</v>
      </c>
      <c r="F463" s="7">
        <v>5</v>
      </c>
      <c r="G463" s="7">
        <v>125</v>
      </c>
      <c r="H463" s="7">
        <v>225500</v>
      </c>
      <c r="I463" s="5">
        <v>22550</v>
      </c>
      <c r="J463" s="5">
        <v>202950</v>
      </c>
      <c r="K463" s="7">
        <v>216480</v>
      </c>
      <c r="L463" s="5">
        <v>-13530</v>
      </c>
      <c r="M463" s="1">
        <v>41579</v>
      </c>
      <c r="N463">
        <v>11</v>
      </c>
      <c r="O463" t="s">
        <v>28</v>
      </c>
      <c r="P463" t="s">
        <v>11</v>
      </c>
      <c r="Q463" s="5">
        <f>tbl_financials[[#This Row],[Net_Sales]]</f>
        <v>202950</v>
      </c>
      <c r="R463" s="5">
        <f>ROUND(tbl_financials[[#This Row],[Revenue]]*(0.12+MOD(ROW(),7)/100),2)</f>
        <v>26383.5</v>
      </c>
      <c r="S463" s="7">
        <f t="shared" si="7"/>
        <v>6353</v>
      </c>
      <c r="T463" s="5">
        <f>tbl_financials[[#This Row],[Gross_Profit]]-tbl_financials[[#This Row],[Operating_Expenses]]+tbl_financials[[#This Row],[Other_Income]]</f>
        <v>-33560.5</v>
      </c>
      <c r="U463" s="11">
        <f>IF(tbl_financials[[#This Row],[Revenue]]=0,0,tbl_financials[[#This Row],[Net_Profit]]/tbl_financials[[#This Row],[Revenue]])</f>
        <v>-0.16536338999753633</v>
      </c>
      <c r="V463" s="11" t="str">
        <f>tbl_financials[[#This Row],[Month_Name]] &amp; "_" &amp; tbl_financials[[#This Row],[Year]]</f>
        <v>November_2013</v>
      </c>
      <c r="W463" s="11" t="str">
        <f>tbl_financials[[#This Row],[Month_Name]] &amp; "_" &amp; (tbl_financials[[#This Row],[Year]]-1)</f>
        <v>November_2012</v>
      </c>
      <c r="X46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64" spans="1:24" x14ac:dyDescent="0.3">
      <c r="A464" t="s">
        <v>5</v>
      </c>
      <c r="B464" t="s">
        <v>15</v>
      </c>
      <c r="C464" t="s">
        <v>33</v>
      </c>
      <c r="D464" t="s">
        <v>41</v>
      </c>
      <c r="E464" s="9">
        <v>2072</v>
      </c>
      <c r="F464" s="7">
        <v>5</v>
      </c>
      <c r="G464" s="7">
        <v>15</v>
      </c>
      <c r="H464" s="7">
        <v>31080</v>
      </c>
      <c r="I464" s="5">
        <v>3108</v>
      </c>
      <c r="J464" s="5">
        <v>27972</v>
      </c>
      <c r="K464" s="7">
        <v>20720</v>
      </c>
      <c r="L464" s="5">
        <v>7252</v>
      </c>
      <c r="M464" s="1">
        <v>41974</v>
      </c>
      <c r="N464">
        <v>12</v>
      </c>
      <c r="O464" t="s">
        <v>29</v>
      </c>
      <c r="P464" t="s">
        <v>12</v>
      </c>
      <c r="Q464" s="5">
        <f>tbl_financials[[#This Row],[Net_Sales]]</f>
        <v>27972</v>
      </c>
      <c r="R464" s="5">
        <f>ROUND(tbl_financials[[#This Row],[Revenue]]*(0.12+MOD(ROW(),7)/100),2)</f>
        <v>3916.08</v>
      </c>
      <c r="S464" s="7">
        <f t="shared" si="7"/>
        <v>6384</v>
      </c>
      <c r="T464" s="5">
        <f>tbl_financials[[#This Row],[Gross_Profit]]-tbl_financials[[#This Row],[Operating_Expenses]]+tbl_financials[[#This Row],[Other_Income]]</f>
        <v>9719.92</v>
      </c>
      <c r="U464" s="11">
        <f>IF(tbl_financials[[#This Row],[Revenue]]=0,0,tbl_financials[[#This Row],[Net_Profit]]/tbl_financials[[#This Row],[Revenue]])</f>
        <v>0.34748748748748748</v>
      </c>
      <c r="V464" s="11" t="str">
        <f>tbl_financials[[#This Row],[Month_Name]] &amp; "_" &amp; tbl_financials[[#This Row],[Year]]</f>
        <v>December_2014</v>
      </c>
      <c r="W464" s="11" t="str">
        <f>tbl_financials[[#This Row],[Month_Name]] &amp; "_" &amp; (tbl_financials[[#This Row],[Year]]-1)</f>
        <v>December_2013</v>
      </c>
      <c r="X46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-0.13345724907063197</v>
      </c>
    </row>
    <row r="465" spans="1:24" x14ac:dyDescent="0.3">
      <c r="A465" t="s">
        <v>7</v>
      </c>
      <c r="B465" t="s">
        <v>15</v>
      </c>
      <c r="C465" t="s">
        <v>34</v>
      </c>
      <c r="D465" t="s">
        <v>41</v>
      </c>
      <c r="E465" s="9">
        <v>1954</v>
      </c>
      <c r="F465" s="7">
        <v>10</v>
      </c>
      <c r="G465" s="7">
        <v>20</v>
      </c>
      <c r="H465" s="7">
        <v>39080</v>
      </c>
      <c r="I465" s="5">
        <v>3908</v>
      </c>
      <c r="J465" s="5">
        <v>35172</v>
      </c>
      <c r="K465" s="7">
        <v>19540</v>
      </c>
      <c r="L465" s="5">
        <v>15632</v>
      </c>
      <c r="M465" s="1">
        <v>41699</v>
      </c>
      <c r="N465">
        <v>3</v>
      </c>
      <c r="O465" t="s">
        <v>20</v>
      </c>
      <c r="P465" t="s">
        <v>12</v>
      </c>
      <c r="Q465" s="5">
        <f>tbl_financials[[#This Row],[Net_Sales]]</f>
        <v>35172</v>
      </c>
      <c r="R465" s="5">
        <f>ROUND(tbl_financials[[#This Row],[Revenue]]*(0.12+MOD(ROW(),7)/100),2)</f>
        <v>5275.8</v>
      </c>
      <c r="S465" s="7">
        <f t="shared" si="7"/>
        <v>6415</v>
      </c>
      <c r="T465" s="5">
        <f>tbl_financials[[#This Row],[Gross_Profit]]-tbl_financials[[#This Row],[Operating_Expenses]]+tbl_financials[[#This Row],[Other_Income]]</f>
        <v>16771.2</v>
      </c>
      <c r="U465" s="11">
        <f>IF(tbl_financials[[#This Row],[Revenue]]=0,0,tbl_financials[[#This Row],[Net_Profit]]/tbl_financials[[#This Row],[Revenue]])</f>
        <v>0.47683384510406007</v>
      </c>
      <c r="V465" s="11" t="str">
        <f>tbl_financials[[#This Row],[Month_Name]] &amp; "_" &amp; tbl_financials[[#This Row],[Year]]</f>
        <v>March_2014</v>
      </c>
      <c r="W465" s="11" t="str">
        <f>tbl_financials[[#This Row],[Month_Name]] &amp; "_" &amp; (tbl_financials[[#This Row],[Year]]-1)</f>
        <v>March_2013</v>
      </c>
      <c r="X46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66" spans="1:24" x14ac:dyDescent="0.3">
      <c r="A466" t="s">
        <v>4</v>
      </c>
      <c r="B466" t="s">
        <v>17</v>
      </c>
      <c r="C466" t="s">
        <v>34</v>
      </c>
      <c r="D466" t="s">
        <v>41</v>
      </c>
      <c r="E466" s="9">
        <v>591</v>
      </c>
      <c r="F466" s="7">
        <v>10</v>
      </c>
      <c r="G466" s="7">
        <v>300</v>
      </c>
      <c r="H466" s="7">
        <v>177300</v>
      </c>
      <c r="I466" s="5">
        <v>17730</v>
      </c>
      <c r="J466" s="5">
        <v>159570</v>
      </c>
      <c r="K466" s="7">
        <v>147750</v>
      </c>
      <c r="L466" s="5">
        <v>11820</v>
      </c>
      <c r="M466" s="1">
        <v>41760</v>
      </c>
      <c r="N466">
        <v>5</v>
      </c>
      <c r="O466" t="s">
        <v>22</v>
      </c>
      <c r="P466" t="s">
        <v>12</v>
      </c>
      <c r="Q466" s="5">
        <f>tbl_financials[[#This Row],[Net_Sales]]</f>
        <v>159570</v>
      </c>
      <c r="R466" s="5">
        <f>ROUND(tbl_financials[[#This Row],[Revenue]]*(0.12+MOD(ROW(),7)/100),2)</f>
        <v>25531.200000000001</v>
      </c>
      <c r="S466" s="7">
        <f t="shared" si="7"/>
        <v>6446</v>
      </c>
      <c r="T466" s="5">
        <f>tbl_financials[[#This Row],[Gross_Profit]]-tbl_financials[[#This Row],[Operating_Expenses]]+tbl_financials[[#This Row],[Other_Income]]</f>
        <v>-7265.2000000000007</v>
      </c>
      <c r="U466" s="11">
        <f>IF(tbl_financials[[#This Row],[Revenue]]=0,0,tbl_financials[[#This Row],[Net_Profit]]/tbl_financials[[#This Row],[Revenue]])</f>
        <v>-4.5529861502788746E-2</v>
      </c>
      <c r="V466" s="11" t="str">
        <f>tbl_financials[[#This Row],[Month_Name]] &amp; "_" &amp; tbl_financials[[#This Row],[Year]]</f>
        <v>May_2014</v>
      </c>
      <c r="W466" s="11" t="str">
        <f>tbl_financials[[#This Row],[Month_Name]] &amp; "_" &amp; (tbl_financials[[#This Row],[Year]]-1)</f>
        <v>May_2013</v>
      </c>
      <c r="X46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67" spans="1:24" x14ac:dyDescent="0.3">
      <c r="A467" t="s">
        <v>5</v>
      </c>
      <c r="B467" t="s">
        <v>15</v>
      </c>
      <c r="C467" t="s">
        <v>34</v>
      </c>
      <c r="D467" t="s">
        <v>41</v>
      </c>
      <c r="E467" s="9">
        <v>2167</v>
      </c>
      <c r="F467" s="7">
        <v>10</v>
      </c>
      <c r="G467" s="7">
        <v>15</v>
      </c>
      <c r="H467" s="7">
        <v>32505</v>
      </c>
      <c r="I467" s="5">
        <v>3250.5</v>
      </c>
      <c r="J467" s="5">
        <v>29254.5</v>
      </c>
      <c r="K467" s="7">
        <v>21670</v>
      </c>
      <c r="L467" s="5">
        <v>7584.5</v>
      </c>
      <c r="M467" s="1">
        <v>41548</v>
      </c>
      <c r="N467">
        <v>10</v>
      </c>
      <c r="O467" t="s">
        <v>27</v>
      </c>
      <c r="P467" t="s">
        <v>11</v>
      </c>
      <c r="Q467" s="5">
        <f>tbl_financials[[#This Row],[Net_Sales]]</f>
        <v>29254.5</v>
      </c>
      <c r="R467" s="5">
        <f>ROUND(tbl_financials[[#This Row],[Revenue]]*(0.12+MOD(ROW(),7)/100),2)</f>
        <v>4973.2700000000004</v>
      </c>
      <c r="S467" s="7">
        <f t="shared" si="7"/>
        <v>6477</v>
      </c>
      <c r="T467" s="5">
        <f>tbl_financials[[#This Row],[Gross_Profit]]-tbl_financials[[#This Row],[Operating_Expenses]]+tbl_financials[[#This Row],[Other_Income]]</f>
        <v>9088.23</v>
      </c>
      <c r="U467" s="11">
        <f>IF(tbl_financials[[#This Row],[Revenue]]=0,0,tbl_financials[[#This Row],[Net_Profit]]/tbl_financials[[#This Row],[Revenue]])</f>
        <v>0.31066092396041634</v>
      </c>
      <c r="V467" s="11" t="str">
        <f>tbl_financials[[#This Row],[Month_Name]] &amp; "_" &amp; tbl_financials[[#This Row],[Year]]</f>
        <v>October_2013</v>
      </c>
      <c r="W467" s="11" t="str">
        <f>tbl_financials[[#This Row],[Month_Name]] &amp; "_" &amp; (tbl_financials[[#This Row],[Year]]-1)</f>
        <v>October_2012</v>
      </c>
      <c r="X46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68" spans="1:24" x14ac:dyDescent="0.3">
      <c r="A468" t="s">
        <v>7</v>
      </c>
      <c r="B468" t="s">
        <v>16</v>
      </c>
      <c r="C468" t="s">
        <v>34</v>
      </c>
      <c r="D468" t="s">
        <v>41</v>
      </c>
      <c r="E468" s="9">
        <v>241</v>
      </c>
      <c r="F468" s="7">
        <v>10</v>
      </c>
      <c r="G468" s="7">
        <v>20</v>
      </c>
      <c r="H468" s="7">
        <v>4820</v>
      </c>
      <c r="I468" s="5">
        <v>482</v>
      </c>
      <c r="J468" s="5">
        <v>4338</v>
      </c>
      <c r="K468" s="7">
        <v>2410</v>
      </c>
      <c r="L468" s="5">
        <v>1928</v>
      </c>
      <c r="M468" s="1">
        <v>41913</v>
      </c>
      <c r="N468">
        <v>10</v>
      </c>
      <c r="O468" t="s">
        <v>27</v>
      </c>
      <c r="P468" t="s">
        <v>12</v>
      </c>
      <c r="Q468" s="5">
        <f>tbl_financials[[#This Row],[Net_Sales]]</f>
        <v>4338</v>
      </c>
      <c r="R468" s="5">
        <f>ROUND(tbl_financials[[#This Row],[Revenue]]*(0.12+MOD(ROW(),7)/100),2)</f>
        <v>780.84</v>
      </c>
      <c r="S468" s="7">
        <f t="shared" si="7"/>
        <v>6508</v>
      </c>
      <c r="T468" s="5">
        <f>tbl_financials[[#This Row],[Gross_Profit]]-tbl_financials[[#This Row],[Operating_Expenses]]+tbl_financials[[#This Row],[Other_Income]]</f>
        <v>7655.16</v>
      </c>
      <c r="U468" s="11">
        <f>IF(tbl_financials[[#This Row],[Revenue]]=0,0,tbl_financials[[#This Row],[Net_Profit]]/tbl_financials[[#This Row],[Revenue]])</f>
        <v>1.7646749654218534</v>
      </c>
      <c r="V468" s="11" t="str">
        <f>tbl_financials[[#This Row],[Month_Name]] &amp; "_" &amp; tbl_financials[[#This Row],[Year]]</f>
        <v>October_2014</v>
      </c>
      <c r="W468" s="11" t="str">
        <f>tbl_financials[[#This Row],[Month_Name]] &amp; "_" &amp; (tbl_financials[[#This Row],[Year]]-1)</f>
        <v>October_2013</v>
      </c>
      <c r="X46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-0.89940869565217396</v>
      </c>
    </row>
    <row r="469" spans="1:24" x14ac:dyDescent="0.3">
      <c r="A469" t="s">
        <v>5</v>
      </c>
      <c r="B469" t="s">
        <v>16</v>
      </c>
      <c r="C469" t="s">
        <v>35</v>
      </c>
      <c r="D469" t="s">
        <v>41</v>
      </c>
      <c r="E469" s="9">
        <v>681</v>
      </c>
      <c r="F469" s="7">
        <v>120</v>
      </c>
      <c r="G469" s="7">
        <v>15</v>
      </c>
      <c r="H469" s="7">
        <v>10215</v>
      </c>
      <c r="I469" s="5">
        <v>1021.5</v>
      </c>
      <c r="J469" s="5">
        <v>9193.5</v>
      </c>
      <c r="K469" s="7">
        <v>6810</v>
      </c>
      <c r="L469" s="5">
        <v>2383.5</v>
      </c>
      <c r="M469" s="1">
        <v>41640</v>
      </c>
      <c r="N469">
        <v>1</v>
      </c>
      <c r="O469" t="s">
        <v>18</v>
      </c>
      <c r="P469" t="s">
        <v>12</v>
      </c>
      <c r="Q469" s="5">
        <f>tbl_financials[[#This Row],[Net_Sales]]</f>
        <v>9193.5</v>
      </c>
      <c r="R469" s="5">
        <f>ROUND(tbl_financials[[#This Row],[Revenue]]*(0.12+MOD(ROW(),7)/100),2)</f>
        <v>1103.22</v>
      </c>
      <c r="S469" s="7">
        <f t="shared" si="7"/>
        <v>6539</v>
      </c>
      <c r="T469" s="5">
        <f>tbl_financials[[#This Row],[Gross_Profit]]-tbl_financials[[#This Row],[Operating_Expenses]]+tbl_financials[[#This Row],[Other_Income]]</f>
        <v>7819.28</v>
      </c>
      <c r="U469" s="11">
        <f>IF(tbl_financials[[#This Row],[Revenue]]=0,0,tbl_financials[[#This Row],[Net_Profit]]/tbl_financials[[#This Row],[Revenue]])</f>
        <v>0.85052265187360632</v>
      </c>
      <c r="V469" s="11" t="str">
        <f>tbl_financials[[#This Row],[Month_Name]] &amp; "_" &amp; tbl_financials[[#This Row],[Year]]</f>
        <v>January_2014</v>
      </c>
      <c r="W469" s="11" t="str">
        <f>tbl_financials[[#This Row],[Month_Name]] &amp; "_" &amp; (tbl_financials[[#This Row],[Year]]-1)</f>
        <v>January_2013</v>
      </c>
      <c r="X46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70" spans="1:24" x14ac:dyDescent="0.3">
      <c r="A470" t="s">
        <v>5</v>
      </c>
      <c r="B470" t="s">
        <v>16</v>
      </c>
      <c r="C470" t="s">
        <v>35</v>
      </c>
      <c r="D470" t="s">
        <v>41</v>
      </c>
      <c r="E470" s="9">
        <v>510</v>
      </c>
      <c r="F470" s="7">
        <v>120</v>
      </c>
      <c r="G470" s="7">
        <v>15</v>
      </c>
      <c r="H470" s="7">
        <v>7650</v>
      </c>
      <c r="I470" s="5">
        <v>765</v>
      </c>
      <c r="J470" s="5">
        <v>6885</v>
      </c>
      <c r="K470" s="7">
        <v>5100</v>
      </c>
      <c r="L470" s="5">
        <v>1785</v>
      </c>
      <c r="M470" s="1">
        <v>41730</v>
      </c>
      <c r="N470">
        <v>4</v>
      </c>
      <c r="O470" t="s">
        <v>21</v>
      </c>
      <c r="P470" t="s">
        <v>12</v>
      </c>
      <c r="Q470" s="5">
        <f>tbl_financials[[#This Row],[Net_Sales]]</f>
        <v>6885</v>
      </c>
      <c r="R470" s="5">
        <f>ROUND(tbl_financials[[#This Row],[Revenue]]*(0.12+MOD(ROW(),7)/100),2)</f>
        <v>895.05</v>
      </c>
      <c r="S470" s="7">
        <f t="shared" si="7"/>
        <v>6570</v>
      </c>
      <c r="T470" s="5">
        <f>tbl_financials[[#This Row],[Gross_Profit]]-tbl_financials[[#This Row],[Operating_Expenses]]+tbl_financials[[#This Row],[Other_Income]]</f>
        <v>7459.95</v>
      </c>
      <c r="U470" s="11">
        <f>IF(tbl_financials[[#This Row],[Revenue]]=0,0,tbl_financials[[#This Row],[Net_Profit]]/tbl_financials[[#This Row],[Revenue]])</f>
        <v>1.083507625272331</v>
      </c>
      <c r="V470" s="11" t="str">
        <f>tbl_financials[[#This Row],[Month_Name]] &amp; "_" &amp; tbl_financials[[#This Row],[Year]]</f>
        <v>April_2014</v>
      </c>
      <c r="W470" s="11" t="str">
        <f>tbl_financials[[#This Row],[Month_Name]] &amp; "_" &amp; (tbl_financials[[#This Row],[Year]]-1)</f>
        <v>April_2013</v>
      </c>
      <c r="X47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71" spans="1:24" x14ac:dyDescent="0.3">
      <c r="A471" t="s">
        <v>5</v>
      </c>
      <c r="B471" t="s">
        <v>14</v>
      </c>
      <c r="C471" t="s">
        <v>35</v>
      </c>
      <c r="D471" t="s">
        <v>41</v>
      </c>
      <c r="E471" s="9">
        <v>790</v>
      </c>
      <c r="F471" s="7">
        <v>120</v>
      </c>
      <c r="G471" s="7">
        <v>15</v>
      </c>
      <c r="H471" s="7">
        <v>11850</v>
      </c>
      <c r="I471" s="5">
        <v>1185</v>
      </c>
      <c r="J471" s="5">
        <v>10665</v>
      </c>
      <c r="K471" s="7">
        <v>7900</v>
      </c>
      <c r="L471" s="5">
        <v>2765</v>
      </c>
      <c r="M471" s="1">
        <v>41760</v>
      </c>
      <c r="N471">
        <v>5</v>
      </c>
      <c r="O471" t="s">
        <v>22</v>
      </c>
      <c r="P471" t="s">
        <v>12</v>
      </c>
      <c r="Q471" s="5">
        <f>tbl_financials[[#This Row],[Net_Sales]]</f>
        <v>10665</v>
      </c>
      <c r="R471" s="5">
        <f>ROUND(tbl_financials[[#This Row],[Revenue]]*(0.12+MOD(ROW(),7)/100),2)</f>
        <v>1493.1</v>
      </c>
      <c r="S471" s="7">
        <f t="shared" si="7"/>
        <v>6601</v>
      </c>
      <c r="T471" s="5">
        <f>tbl_financials[[#This Row],[Gross_Profit]]-tbl_financials[[#This Row],[Operating_Expenses]]+tbl_financials[[#This Row],[Other_Income]]</f>
        <v>7872.9</v>
      </c>
      <c r="U471" s="11">
        <f>IF(tbl_financials[[#This Row],[Revenue]]=0,0,tbl_financials[[#This Row],[Net_Profit]]/tbl_financials[[#This Row],[Revenue]])</f>
        <v>0.73819971870604784</v>
      </c>
      <c r="V471" s="11" t="str">
        <f>tbl_financials[[#This Row],[Month_Name]] &amp; "_" &amp; tbl_financials[[#This Row],[Year]]</f>
        <v>May_2014</v>
      </c>
      <c r="W471" s="11" t="str">
        <f>tbl_financials[[#This Row],[Month_Name]] &amp; "_" &amp; (tbl_financials[[#This Row],[Year]]-1)</f>
        <v>May_2013</v>
      </c>
      <c r="X47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72" spans="1:24" x14ac:dyDescent="0.3">
      <c r="A472" t="s">
        <v>7</v>
      </c>
      <c r="B472" t="s">
        <v>15</v>
      </c>
      <c r="C472" t="s">
        <v>35</v>
      </c>
      <c r="D472" t="s">
        <v>41</v>
      </c>
      <c r="E472" s="9">
        <v>639</v>
      </c>
      <c r="F472" s="7">
        <v>120</v>
      </c>
      <c r="G472" s="7">
        <v>350</v>
      </c>
      <c r="H472" s="7">
        <v>223650</v>
      </c>
      <c r="I472" s="5">
        <v>22365</v>
      </c>
      <c r="J472" s="5">
        <v>201285</v>
      </c>
      <c r="K472" s="7">
        <v>166140</v>
      </c>
      <c r="L472" s="5">
        <v>35145</v>
      </c>
      <c r="M472" s="1">
        <v>41821</v>
      </c>
      <c r="N472">
        <v>7</v>
      </c>
      <c r="O472" t="s">
        <v>24</v>
      </c>
      <c r="P472" t="s">
        <v>12</v>
      </c>
      <c r="Q472" s="5">
        <f>tbl_financials[[#This Row],[Net_Sales]]</f>
        <v>201285</v>
      </c>
      <c r="R472" s="5">
        <f>ROUND(tbl_financials[[#This Row],[Revenue]]*(0.12+MOD(ROW(),7)/100),2)</f>
        <v>30192.75</v>
      </c>
      <c r="S472" s="7">
        <f t="shared" si="7"/>
        <v>6632</v>
      </c>
      <c r="T472" s="5">
        <f>tbl_financials[[#This Row],[Gross_Profit]]-tbl_financials[[#This Row],[Operating_Expenses]]+tbl_financials[[#This Row],[Other_Income]]</f>
        <v>11584.25</v>
      </c>
      <c r="U472" s="11">
        <f>IF(tbl_financials[[#This Row],[Revenue]]=0,0,tbl_financials[[#This Row],[Net_Profit]]/tbl_financials[[#This Row],[Revenue]])</f>
        <v>5.7551481729885487E-2</v>
      </c>
      <c r="V472" s="11" t="str">
        <f>tbl_financials[[#This Row],[Month_Name]] &amp; "_" &amp; tbl_financials[[#This Row],[Year]]</f>
        <v>July_2014</v>
      </c>
      <c r="W472" s="11" t="str">
        <f>tbl_financials[[#This Row],[Month_Name]] &amp; "_" &amp; (tbl_financials[[#This Row],[Year]]-1)</f>
        <v>July_2013</v>
      </c>
      <c r="X47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73" spans="1:24" x14ac:dyDescent="0.3">
      <c r="A473" t="s">
        <v>6</v>
      </c>
      <c r="B473" t="s">
        <v>14</v>
      </c>
      <c r="C473" t="s">
        <v>35</v>
      </c>
      <c r="D473" t="s">
        <v>41</v>
      </c>
      <c r="E473" s="9">
        <v>1596</v>
      </c>
      <c r="F473" s="7">
        <v>120</v>
      </c>
      <c r="G473" s="7">
        <v>125</v>
      </c>
      <c r="H473" s="7">
        <v>199500</v>
      </c>
      <c r="I473" s="5">
        <v>19950</v>
      </c>
      <c r="J473" s="5">
        <v>179550</v>
      </c>
      <c r="K473" s="7">
        <v>191520</v>
      </c>
      <c r="L473" s="5">
        <v>-11970</v>
      </c>
      <c r="M473" s="1">
        <v>41883</v>
      </c>
      <c r="N473">
        <v>9</v>
      </c>
      <c r="O473" t="s">
        <v>26</v>
      </c>
      <c r="P473" t="s">
        <v>12</v>
      </c>
      <c r="Q473" s="5">
        <f>tbl_financials[[#This Row],[Net_Sales]]</f>
        <v>179550</v>
      </c>
      <c r="R473" s="5">
        <f>ROUND(tbl_financials[[#This Row],[Revenue]]*(0.12+MOD(ROW(),7)/100),2)</f>
        <v>28728</v>
      </c>
      <c r="S473" s="7">
        <f t="shared" si="7"/>
        <v>6663</v>
      </c>
      <c r="T473" s="5">
        <f>tbl_financials[[#This Row],[Gross_Profit]]-tbl_financials[[#This Row],[Operating_Expenses]]+tbl_financials[[#This Row],[Other_Income]]</f>
        <v>-34035</v>
      </c>
      <c r="U473" s="11">
        <f>IF(tbl_financials[[#This Row],[Revenue]]=0,0,tbl_financials[[#This Row],[Net_Profit]]/tbl_financials[[#This Row],[Revenue]])</f>
        <v>-0.18955722639933167</v>
      </c>
      <c r="V473" s="11" t="str">
        <f>tbl_financials[[#This Row],[Month_Name]] &amp; "_" &amp; tbl_financials[[#This Row],[Year]]</f>
        <v>September_2014</v>
      </c>
      <c r="W473" s="11" t="str">
        <f>tbl_financials[[#This Row],[Month_Name]] &amp; "_" &amp; (tbl_financials[[#This Row],[Year]]-1)</f>
        <v>September_2013</v>
      </c>
      <c r="X47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20.803278688524589</v>
      </c>
    </row>
    <row r="474" spans="1:24" x14ac:dyDescent="0.3">
      <c r="A474" t="s">
        <v>4</v>
      </c>
      <c r="B474" t="s">
        <v>14</v>
      </c>
      <c r="C474" t="s">
        <v>35</v>
      </c>
      <c r="D474" t="s">
        <v>41</v>
      </c>
      <c r="E474" s="9">
        <v>2294</v>
      </c>
      <c r="F474" s="7">
        <v>120</v>
      </c>
      <c r="G474" s="7">
        <v>300</v>
      </c>
      <c r="H474" s="7">
        <v>688200</v>
      </c>
      <c r="I474" s="5">
        <v>68820</v>
      </c>
      <c r="J474" s="5">
        <v>619380</v>
      </c>
      <c r="K474" s="7">
        <v>573500</v>
      </c>
      <c r="L474" s="5">
        <v>45880</v>
      </c>
      <c r="M474" s="1">
        <v>41548</v>
      </c>
      <c r="N474">
        <v>10</v>
      </c>
      <c r="O474" t="s">
        <v>27</v>
      </c>
      <c r="P474" t="s">
        <v>11</v>
      </c>
      <c r="Q474" s="5">
        <f>tbl_financials[[#This Row],[Net_Sales]]</f>
        <v>619380</v>
      </c>
      <c r="R474" s="5">
        <f>ROUND(tbl_financials[[#This Row],[Revenue]]*(0.12+MOD(ROW(),7)/100),2)</f>
        <v>105294.6</v>
      </c>
      <c r="S474" s="7">
        <f t="shared" si="7"/>
        <v>6694</v>
      </c>
      <c r="T474" s="5">
        <f>tbl_financials[[#This Row],[Gross_Profit]]-tbl_financials[[#This Row],[Operating_Expenses]]+tbl_financials[[#This Row],[Other_Income]]</f>
        <v>-52720.600000000006</v>
      </c>
      <c r="U474" s="11">
        <f>IF(tbl_financials[[#This Row],[Revenue]]=0,0,tbl_financials[[#This Row],[Net_Profit]]/tbl_financials[[#This Row],[Revenue]])</f>
        <v>-8.5118344150602224E-2</v>
      </c>
      <c r="V474" s="11" t="str">
        <f>tbl_financials[[#This Row],[Month_Name]] &amp; "_" &amp; tbl_financials[[#This Row],[Year]]</f>
        <v>October_2013</v>
      </c>
      <c r="W474" s="11" t="str">
        <f>tbl_financials[[#This Row],[Month_Name]] &amp; "_" &amp; (tbl_financials[[#This Row],[Year]]-1)</f>
        <v>October_2012</v>
      </c>
      <c r="X47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75" spans="1:24" x14ac:dyDescent="0.3">
      <c r="A475" t="s">
        <v>7</v>
      </c>
      <c r="B475" t="s">
        <v>16</v>
      </c>
      <c r="C475" t="s">
        <v>35</v>
      </c>
      <c r="D475" t="s">
        <v>41</v>
      </c>
      <c r="E475" s="9">
        <v>241</v>
      </c>
      <c r="F475" s="7">
        <v>120</v>
      </c>
      <c r="G475" s="7">
        <v>20</v>
      </c>
      <c r="H475" s="7">
        <v>4820</v>
      </c>
      <c r="I475" s="5">
        <v>482</v>
      </c>
      <c r="J475" s="5">
        <v>4338</v>
      </c>
      <c r="K475" s="7">
        <v>2410</v>
      </c>
      <c r="L475" s="5">
        <v>1928</v>
      </c>
      <c r="M475" s="1">
        <v>41913</v>
      </c>
      <c r="N475">
        <v>10</v>
      </c>
      <c r="O475" t="s">
        <v>27</v>
      </c>
      <c r="P475" t="s">
        <v>12</v>
      </c>
      <c r="Q475" s="5">
        <f>tbl_financials[[#This Row],[Net_Sales]]</f>
        <v>4338</v>
      </c>
      <c r="R475" s="5">
        <f>ROUND(tbl_financials[[#This Row],[Revenue]]*(0.12+MOD(ROW(),7)/100),2)</f>
        <v>780.84</v>
      </c>
      <c r="S475" s="7">
        <f t="shared" si="7"/>
        <v>6725</v>
      </c>
      <c r="T475" s="5">
        <f>tbl_financials[[#This Row],[Gross_Profit]]-tbl_financials[[#This Row],[Operating_Expenses]]+tbl_financials[[#This Row],[Other_Income]]</f>
        <v>7872.16</v>
      </c>
      <c r="U475" s="11">
        <f>IF(tbl_financials[[#This Row],[Revenue]]=0,0,tbl_financials[[#This Row],[Net_Profit]]/tbl_financials[[#This Row],[Revenue]])</f>
        <v>1.8146980175195941</v>
      </c>
      <c r="V475" s="11" t="str">
        <f>tbl_financials[[#This Row],[Month_Name]] &amp; "_" &amp; tbl_financials[[#This Row],[Year]]</f>
        <v>October_2014</v>
      </c>
      <c r="W475" s="11" t="str">
        <f>tbl_financials[[#This Row],[Month_Name]] &amp; "_" &amp; (tbl_financials[[#This Row],[Year]]-1)</f>
        <v>October_2013</v>
      </c>
      <c r="X47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-0.89940869565217396</v>
      </c>
    </row>
    <row r="476" spans="1:24" x14ac:dyDescent="0.3">
      <c r="A476" t="s">
        <v>7</v>
      </c>
      <c r="B476" t="s">
        <v>16</v>
      </c>
      <c r="C476" t="s">
        <v>35</v>
      </c>
      <c r="D476" t="s">
        <v>41</v>
      </c>
      <c r="E476" s="9">
        <v>2665</v>
      </c>
      <c r="F476" s="7">
        <v>120</v>
      </c>
      <c r="G476" s="7">
        <v>7</v>
      </c>
      <c r="H476" s="7">
        <v>18655</v>
      </c>
      <c r="I476" s="5">
        <v>1865.5</v>
      </c>
      <c r="J476" s="5">
        <v>16789.5</v>
      </c>
      <c r="K476" s="7">
        <v>13325</v>
      </c>
      <c r="L476" s="5">
        <v>3464.5</v>
      </c>
      <c r="M476" s="1">
        <v>41944</v>
      </c>
      <c r="N476">
        <v>11</v>
      </c>
      <c r="O476" t="s">
        <v>28</v>
      </c>
      <c r="P476" t="s">
        <v>12</v>
      </c>
      <c r="Q476" s="5">
        <f>tbl_financials[[#This Row],[Net_Sales]]</f>
        <v>16789.5</v>
      </c>
      <c r="R476" s="5">
        <f>ROUND(tbl_financials[[#This Row],[Revenue]]*(0.12+MOD(ROW(),7)/100),2)</f>
        <v>2014.74</v>
      </c>
      <c r="S476" s="7">
        <f t="shared" si="7"/>
        <v>6756</v>
      </c>
      <c r="T476" s="5">
        <f>tbl_financials[[#This Row],[Gross_Profit]]-tbl_financials[[#This Row],[Operating_Expenses]]+tbl_financials[[#This Row],[Other_Income]]</f>
        <v>8205.76</v>
      </c>
      <c r="U476" s="11">
        <f>IF(tbl_financials[[#This Row],[Revenue]]=0,0,tbl_financials[[#This Row],[Net_Profit]]/tbl_financials[[#This Row],[Revenue]])</f>
        <v>0.48874355996307217</v>
      </c>
      <c r="V476" s="11" t="str">
        <f>tbl_financials[[#This Row],[Month_Name]] &amp; "_" &amp; tbl_financials[[#This Row],[Year]]</f>
        <v>November_2014</v>
      </c>
      <c r="W476" s="11" t="str">
        <f>tbl_financials[[#This Row],[Month_Name]] &amp; "_" &amp; (tbl_financials[[#This Row],[Year]]-1)</f>
        <v>November_2013</v>
      </c>
      <c r="X47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-0.97219130434782608</v>
      </c>
    </row>
    <row r="477" spans="1:24" x14ac:dyDescent="0.3">
      <c r="A477" t="s">
        <v>6</v>
      </c>
      <c r="B477" t="s">
        <v>13</v>
      </c>
      <c r="C477" t="s">
        <v>35</v>
      </c>
      <c r="D477" t="s">
        <v>41</v>
      </c>
      <c r="E477" s="9">
        <v>1916</v>
      </c>
      <c r="F477" s="7">
        <v>120</v>
      </c>
      <c r="G477" s="7">
        <v>125</v>
      </c>
      <c r="H477" s="7">
        <v>239500</v>
      </c>
      <c r="I477" s="5">
        <v>23950</v>
      </c>
      <c r="J477" s="5">
        <v>215550</v>
      </c>
      <c r="K477" s="7">
        <v>229920</v>
      </c>
      <c r="L477" s="5">
        <v>-14370</v>
      </c>
      <c r="M477" s="1">
        <v>41609</v>
      </c>
      <c r="N477">
        <v>12</v>
      </c>
      <c r="O477" t="s">
        <v>29</v>
      </c>
      <c r="P477" t="s">
        <v>11</v>
      </c>
      <c r="Q477" s="5">
        <f>tbl_financials[[#This Row],[Net_Sales]]</f>
        <v>215550</v>
      </c>
      <c r="R477" s="5">
        <f>ROUND(tbl_financials[[#This Row],[Revenue]]*(0.12+MOD(ROW(),7)/100),2)</f>
        <v>28021.5</v>
      </c>
      <c r="S477" s="7">
        <f t="shared" si="7"/>
        <v>6787</v>
      </c>
      <c r="T477" s="5">
        <f>tbl_financials[[#This Row],[Gross_Profit]]-tbl_financials[[#This Row],[Operating_Expenses]]+tbl_financials[[#This Row],[Other_Income]]</f>
        <v>-35604.5</v>
      </c>
      <c r="U477" s="11">
        <f>IF(tbl_financials[[#This Row],[Revenue]]=0,0,tbl_financials[[#This Row],[Net_Profit]]/tbl_financials[[#This Row],[Revenue]])</f>
        <v>-0.16517977267455347</v>
      </c>
      <c r="V477" s="11" t="str">
        <f>tbl_financials[[#This Row],[Month_Name]] &amp; "_" &amp; tbl_financials[[#This Row],[Year]]</f>
        <v>December_2013</v>
      </c>
      <c r="W477" s="11" t="str">
        <f>tbl_financials[[#This Row],[Month_Name]] &amp; "_" &amp; (tbl_financials[[#This Row],[Year]]-1)</f>
        <v>December_2012</v>
      </c>
      <c r="X47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78" spans="1:24" x14ac:dyDescent="0.3">
      <c r="A478" t="s">
        <v>4</v>
      </c>
      <c r="B478" t="s">
        <v>15</v>
      </c>
      <c r="C478" t="s">
        <v>35</v>
      </c>
      <c r="D478" t="s">
        <v>41</v>
      </c>
      <c r="E478" s="9">
        <v>853</v>
      </c>
      <c r="F478" s="7">
        <v>120</v>
      </c>
      <c r="G478" s="7">
        <v>300</v>
      </c>
      <c r="H478" s="7">
        <v>255900</v>
      </c>
      <c r="I478" s="5">
        <v>25590</v>
      </c>
      <c r="J478" s="5">
        <v>230310</v>
      </c>
      <c r="K478" s="7">
        <v>213250</v>
      </c>
      <c r="L478" s="5">
        <v>17060</v>
      </c>
      <c r="M478" s="1">
        <v>41974</v>
      </c>
      <c r="N478">
        <v>12</v>
      </c>
      <c r="O478" t="s">
        <v>29</v>
      </c>
      <c r="P478" t="s">
        <v>12</v>
      </c>
      <c r="Q478" s="5">
        <f>tbl_financials[[#This Row],[Net_Sales]]</f>
        <v>230310</v>
      </c>
      <c r="R478" s="5">
        <f>ROUND(tbl_financials[[#This Row],[Revenue]]*(0.12+MOD(ROW(),7)/100),2)</f>
        <v>32243.4</v>
      </c>
      <c r="S478" s="7">
        <f t="shared" si="7"/>
        <v>6818</v>
      </c>
      <c r="T478" s="5">
        <f>tbl_financials[[#This Row],[Gross_Profit]]-tbl_financials[[#This Row],[Operating_Expenses]]+tbl_financials[[#This Row],[Other_Income]]</f>
        <v>-8365.4000000000015</v>
      </c>
      <c r="U478" s="11">
        <f>IF(tbl_financials[[#This Row],[Revenue]]=0,0,tbl_financials[[#This Row],[Net_Profit]]/tbl_financials[[#This Row],[Revenue]])</f>
        <v>-3.6322348139464208E-2</v>
      </c>
      <c r="V478" s="11" t="str">
        <f>tbl_financials[[#This Row],[Month_Name]] &amp; "_" &amp; tbl_financials[[#This Row],[Year]]</f>
        <v>December_2014</v>
      </c>
      <c r="W478" s="11" t="str">
        <f>tbl_financials[[#This Row],[Month_Name]] &amp; "_" &amp; (tbl_financials[[#This Row],[Year]]-1)</f>
        <v>December_2013</v>
      </c>
      <c r="X47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6.1347583643122681</v>
      </c>
    </row>
    <row r="479" spans="1:24" x14ac:dyDescent="0.3">
      <c r="A479" t="s">
        <v>6</v>
      </c>
      <c r="B479" t="s">
        <v>17</v>
      </c>
      <c r="C479" t="s">
        <v>36</v>
      </c>
      <c r="D479" t="s">
        <v>41</v>
      </c>
      <c r="E479" s="9">
        <v>341</v>
      </c>
      <c r="F479" s="7">
        <v>250</v>
      </c>
      <c r="G479" s="7">
        <v>125</v>
      </c>
      <c r="H479" s="7">
        <v>42625</v>
      </c>
      <c r="I479" s="5">
        <v>4262.5</v>
      </c>
      <c r="J479" s="5">
        <v>38362.5</v>
      </c>
      <c r="K479" s="7">
        <v>40920</v>
      </c>
      <c r="L479" s="5">
        <v>-2557.5</v>
      </c>
      <c r="M479" s="1">
        <v>41760</v>
      </c>
      <c r="N479">
        <v>5</v>
      </c>
      <c r="O479" t="s">
        <v>22</v>
      </c>
      <c r="P479" t="s">
        <v>12</v>
      </c>
      <c r="Q479" s="5">
        <f>tbl_financials[[#This Row],[Net_Sales]]</f>
        <v>38362.5</v>
      </c>
      <c r="R479" s="5">
        <f>ROUND(tbl_financials[[#This Row],[Revenue]]*(0.12+MOD(ROW(),7)/100),2)</f>
        <v>5754.38</v>
      </c>
      <c r="S479" s="7">
        <f t="shared" si="7"/>
        <v>6849</v>
      </c>
      <c r="T479" s="5">
        <f>tbl_financials[[#This Row],[Gross_Profit]]-tbl_financials[[#This Row],[Operating_Expenses]]+tbl_financials[[#This Row],[Other_Income]]</f>
        <v>-1462.880000000001</v>
      </c>
      <c r="U479" s="11">
        <f>IF(tbl_financials[[#This Row],[Revenue]]=0,0,tbl_financials[[#This Row],[Net_Profit]]/tbl_financials[[#This Row],[Revenue]])</f>
        <v>-3.8133072662104944E-2</v>
      </c>
      <c r="V479" s="11" t="str">
        <f>tbl_financials[[#This Row],[Month_Name]] &amp; "_" &amp; tbl_financials[[#This Row],[Year]]</f>
        <v>May_2014</v>
      </c>
      <c r="W479" s="11" t="str">
        <f>tbl_financials[[#This Row],[Month_Name]] &amp; "_" &amp; (tbl_financials[[#This Row],[Year]]-1)</f>
        <v>May_2013</v>
      </c>
      <c r="X47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80" spans="1:24" x14ac:dyDescent="0.3">
      <c r="A480" t="s">
        <v>5</v>
      </c>
      <c r="B480" t="s">
        <v>17</v>
      </c>
      <c r="C480" t="s">
        <v>36</v>
      </c>
      <c r="D480" t="s">
        <v>41</v>
      </c>
      <c r="E480" s="9">
        <v>641</v>
      </c>
      <c r="F480" s="7">
        <v>250</v>
      </c>
      <c r="G480" s="7">
        <v>15</v>
      </c>
      <c r="H480" s="7">
        <v>9615</v>
      </c>
      <c r="I480" s="5">
        <v>961.5</v>
      </c>
      <c r="J480" s="5">
        <v>8653.5</v>
      </c>
      <c r="K480" s="7">
        <v>6410</v>
      </c>
      <c r="L480" s="5">
        <v>2243.5</v>
      </c>
      <c r="M480" s="1">
        <v>41821</v>
      </c>
      <c r="N480">
        <v>7</v>
      </c>
      <c r="O480" t="s">
        <v>24</v>
      </c>
      <c r="P480" t="s">
        <v>12</v>
      </c>
      <c r="Q480" s="5">
        <f>tbl_financials[[#This Row],[Net_Sales]]</f>
        <v>8653.5</v>
      </c>
      <c r="R480" s="5">
        <f>ROUND(tbl_financials[[#This Row],[Revenue]]*(0.12+MOD(ROW(),7)/100),2)</f>
        <v>1384.56</v>
      </c>
      <c r="S480" s="7">
        <f t="shared" si="7"/>
        <v>6880</v>
      </c>
      <c r="T480" s="5">
        <f>tbl_financials[[#This Row],[Gross_Profit]]-tbl_financials[[#This Row],[Operating_Expenses]]+tbl_financials[[#This Row],[Other_Income]]</f>
        <v>7738.9400000000005</v>
      </c>
      <c r="U480" s="11">
        <f>IF(tbl_financials[[#This Row],[Revenue]]=0,0,tbl_financials[[#This Row],[Net_Profit]]/tbl_financials[[#This Row],[Revenue]])</f>
        <v>0.89431328364245688</v>
      </c>
      <c r="V480" s="11" t="str">
        <f>tbl_financials[[#This Row],[Month_Name]] &amp; "_" &amp; tbl_financials[[#This Row],[Year]]</f>
        <v>July_2014</v>
      </c>
      <c r="W480" s="11" t="str">
        <f>tbl_financials[[#This Row],[Month_Name]] &amp; "_" &amp; (tbl_financials[[#This Row],[Year]]-1)</f>
        <v>July_2013</v>
      </c>
      <c r="X48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81" spans="1:24" x14ac:dyDescent="0.3">
      <c r="A481" t="s">
        <v>7</v>
      </c>
      <c r="B481" t="s">
        <v>14</v>
      </c>
      <c r="C481" t="s">
        <v>36</v>
      </c>
      <c r="D481" t="s">
        <v>41</v>
      </c>
      <c r="E481" s="9">
        <v>2807</v>
      </c>
      <c r="F481" s="7">
        <v>250</v>
      </c>
      <c r="G481" s="7">
        <v>350</v>
      </c>
      <c r="H481" s="7">
        <v>982450</v>
      </c>
      <c r="I481" s="5">
        <v>98245</v>
      </c>
      <c r="J481" s="5">
        <v>884205</v>
      </c>
      <c r="K481" s="7">
        <v>729820</v>
      </c>
      <c r="L481" s="5">
        <v>154385</v>
      </c>
      <c r="M481" s="1">
        <v>41852</v>
      </c>
      <c r="N481">
        <v>8</v>
      </c>
      <c r="O481" t="s">
        <v>25</v>
      </c>
      <c r="P481" t="s">
        <v>12</v>
      </c>
      <c r="Q481" s="5">
        <f>tbl_financials[[#This Row],[Net_Sales]]</f>
        <v>884205</v>
      </c>
      <c r="R481" s="5">
        <f>ROUND(tbl_financials[[#This Row],[Revenue]]*(0.12+MOD(ROW(),7)/100),2)</f>
        <v>150314.85</v>
      </c>
      <c r="S481" s="7">
        <f t="shared" si="7"/>
        <v>6911</v>
      </c>
      <c r="T481" s="5">
        <f>tbl_financials[[#This Row],[Gross_Profit]]-tbl_financials[[#This Row],[Operating_Expenses]]+tbl_financials[[#This Row],[Other_Income]]</f>
        <v>10981.149999999994</v>
      </c>
      <c r="U481" s="11">
        <f>IF(tbl_financials[[#This Row],[Revenue]]=0,0,tbl_financials[[#This Row],[Net_Profit]]/tbl_financials[[#This Row],[Revenue]])</f>
        <v>1.2419235358316221E-2</v>
      </c>
      <c r="V481" s="11" t="str">
        <f>tbl_financials[[#This Row],[Month_Name]] &amp; "_" &amp; tbl_financials[[#This Row],[Year]]</f>
        <v>August_2014</v>
      </c>
      <c r="W481" s="11" t="str">
        <f>tbl_financials[[#This Row],[Month_Name]] &amp; "_" &amp; (tbl_financials[[#This Row],[Year]]-1)</f>
        <v>August_2013</v>
      </c>
      <c r="X48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82" spans="1:24" x14ac:dyDescent="0.3">
      <c r="A482" t="s">
        <v>4</v>
      </c>
      <c r="B482" t="s">
        <v>17</v>
      </c>
      <c r="C482" t="s">
        <v>36</v>
      </c>
      <c r="D482" t="s">
        <v>41</v>
      </c>
      <c r="E482" s="9">
        <v>432</v>
      </c>
      <c r="F482" s="7">
        <v>250</v>
      </c>
      <c r="G482" s="7">
        <v>300</v>
      </c>
      <c r="H482" s="7">
        <v>129600</v>
      </c>
      <c r="I482" s="5">
        <v>12960</v>
      </c>
      <c r="J482" s="5">
        <v>116640</v>
      </c>
      <c r="K482" s="7">
        <v>108000</v>
      </c>
      <c r="L482" s="5">
        <v>8640</v>
      </c>
      <c r="M482" s="1">
        <v>41883</v>
      </c>
      <c r="N482">
        <v>9</v>
      </c>
      <c r="O482" t="s">
        <v>26</v>
      </c>
      <c r="P482" t="s">
        <v>12</v>
      </c>
      <c r="Q482" s="5">
        <f>tbl_financials[[#This Row],[Net_Sales]]</f>
        <v>116640</v>
      </c>
      <c r="R482" s="5">
        <f>ROUND(tbl_financials[[#This Row],[Revenue]]*(0.12+MOD(ROW(),7)/100),2)</f>
        <v>20995.200000000001</v>
      </c>
      <c r="S482" s="7">
        <f t="shared" si="7"/>
        <v>6942</v>
      </c>
      <c r="T482" s="5">
        <f>tbl_financials[[#This Row],[Gross_Profit]]-tbl_financials[[#This Row],[Operating_Expenses]]+tbl_financials[[#This Row],[Other_Income]]</f>
        <v>-5413.2000000000007</v>
      </c>
      <c r="U482" s="11">
        <f>IF(tbl_financials[[#This Row],[Revenue]]=0,0,tbl_financials[[#This Row],[Net_Profit]]/tbl_financials[[#This Row],[Revenue]])</f>
        <v>-4.6409465020576135E-2</v>
      </c>
      <c r="V482" s="11" t="str">
        <f>tbl_financials[[#This Row],[Month_Name]] &amp; "_" &amp; tbl_financials[[#This Row],[Year]]</f>
        <v>September_2014</v>
      </c>
      <c r="W482" s="11" t="str">
        <f>tbl_financials[[#This Row],[Month_Name]] &amp; "_" &amp; (tbl_financials[[#This Row],[Year]]-1)</f>
        <v>September_2013</v>
      </c>
      <c r="X48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13.163934426229508</v>
      </c>
    </row>
    <row r="483" spans="1:24" x14ac:dyDescent="0.3">
      <c r="A483" t="s">
        <v>4</v>
      </c>
      <c r="B483" t="s">
        <v>14</v>
      </c>
      <c r="C483" t="s">
        <v>36</v>
      </c>
      <c r="D483" t="s">
        <v>41</v>
      </c>
      <c r="E483" s="9">
        <v>2294</v>
      </c>
      <c r="F483" s="7">
        <v>250</v>
      </c>
      <c r="G483" s="7">
        <v>300</v>
      </c>
      <c r="H483" s="7">
        <v>688200</v>
      </c>
      <c r="I483" s="5">
        <v>68820</v>
      </c>
      <c r="J483" s="5">
        <v>619380</v>
      </c>
      <c r="K483" s="7">
        <v>573500</v>
      </c>
      <c r="L483" s="5">
        <v>45880</v>
      </c>
      <c r="M483" s="1">
        <v>41548</v>
      </c>
      <c r="N483">
        <v>10</v>
      </c>
      <c r="O483" t="s">
        <v>27</v>
      </c>
      <c r="P483" t="s">
        <v>11</v>
      </c>
      <c r="Q483" s="5">
        <f>tbl_financials[[#This Row],[Net_Sales]]</f>
        <v>619380</v>
      </c>
      <c r="R483" s="5">
        <f>ROUND(tbl_financials[[#This Row],[Revenue]]*(0.12+MOD(ROW(),7)/100),2)</f>
        <v>74325.600000000006</v>
      </c>
      <c r="S483" s="7">
        <f t="shared" si="7"/>
        <v>6973</v>
      </c>
      <c r="T483" s="5">
        <f>tbl_financials[[#This Row],[Gross_Profit]]-tbl_financials[[#This Row],[Operating_Expenses]]+tbl_financials[[#This Row],[Other_Income]]</f>
        <v>-21472.600000000006</v>
      </c>
      <c r="U483" s="11">
        <f>IF(tbl_financials[[#This Row],[Revenue]]=0,0,tbl_financials[[#This Row],[Net_Profit]]/tbl_financials[[#This Row],[Revenue]])</f>
        <v>-3.4667893700151775E-2</v>
      </c>
      <c r="V483" s="11" t="str">
        <f>tbl_financials[[#This Row],[Month_Name]] &amp; "_" &amp; tbl_financials[[#This Row],[Year]]</f>
        <v>October_2013</v>
      </c>
      <c r="W483" s="11" t="str">
        <f>tbl_financials[[#This Row],[Month_Name]] &amp; "_" &amp; (tbl_financials[[#This Row],[Year]]-1)</f>
        <v>October_2012</v>
      </c>
      <c r="X48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84" spans="1:24" x14ac:dyDescent="0.3">
      <c r="A484" t="s">
        <v>5</v>
      </c>
      <c r="B484" t="s">
        <v>15</v>
      </c>
      <c r="C484" t="s">
        <v>36</v>
      </c>
      <c r="D484" t="s">
        <v>41</v>
      </c>
      <c r="E484" s="9">
        <v>2167</v>
      </c>
      <c r="F484" s="7">
        <v>250</v>
      </c>
      <c r="G484" s="7">
        <v>15</v>
      </c>
      <c r="H484" s="7">
        <v>32505</v>
      </c>
      <c r="I484" s="5">
        <v>3250.5</v>
      </c>
      <c r="J484" s="5">
        <v>29254.5</v>
      </c>
      <c r="K484" s="7">
        <v>21670</v>
      </c>
      <c r="L484" s="5">
        <v>7584.5</v>
      </c>
      <c r="M484" s="1">
        <v>41548</v>
      </c>
      <c r="N484">
        <v>10</v>
      </c>
      <c r="O484" t="s">
        <v>27</v>
      </c>
      <c r="P484" t="s">
        <v>11</v>
      </c>
      <c r="Q484" s="5">
        <f>tbl_financials[[#This Row],[Net_Sales]]</f>
        <v>29254.5</v>
      </c>
      <c r="R484" s="5">
        <f>ROUND(tbl_financials[[#This Row],[Revenue]]*(0.12+MOD(ROW(),7)/100),2)</f>
        <v>3803.09</v>
      </c>
      <c r="S484" s="7">
        <f t="shared" si="7"/>
        <v>7004</v>
      </c>
      <c r="T484" s="5">
        <f>tbl_financials[[#This Row],[Gross_Profit]]-tbl_financials[[#This Row],[Operating_Expenses]]+tbl_financials[[#This Row],[Other_Income]]</f>
        <v>10785.41</v>
      </c>
      <c r="U484" s="11">
        <f>IF(tbl_financials[[#This Row],[Revenue]]=0,0,tbl_financials[[#This Row],[Net_Profit]]/tbl_financials[[#This Row],[Revenue]])</f>
        <v>0.36867524654326683</v>
      </c>
      <c r="V484" s="11" t="str">
        <f>tbl_financials[[#This Row],[Month_Name]] &amp; "_" &amp; tbl_financials[[#This Row],[Year]]</f>
        <v>October_2013</v>
      </c>
      <c r="W484" s="11" t="str">
        <f>tbl_financials[[#This Row],[Month_Name]] &amp; "_" &amp; (tbl_financials[[#This Row],[Year]]-1)</f>
        <v>October_2012</v>
      </c>
      <c r="X48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85" spans="1:24" x14ac:dyDescent="0.3">
      <c r="A485" t="s">
        <v>6</v>
      </c>
      <c r="B485" t="s">
        <v>13</v>
      </c>
      <c r="C485" t="s">
        <v>36</v>
      </c>
      <c r="D485" t="s">
        <v>41</v>
      </c>
      <c r="E485" s="9">
        <v>2529</v>
      </c>
      <c r="F485" s="7">
        <v>250</v>
      </c>
      <c r="G485" s="7">
        <v>125</v>
      </c>
      <c r="H485" s="7">
        <v>316125</v>
      </c>
      <c r="I485" s="5">
        <v>31612.5</v>
      </c>
      <c r="J485" s="5">
        <v>284512.5</v>
      </c>
      <c r="K485" s="7">
        <v>303480</v>
      </c>
      <c r="L485" s="5">
        <v>-18967.5</v>
      </c>
      <c r="M485" s="1">
        <v>41944</v>
      </c>
      <c r="N485">
        <v>11</v>
      </c>
      <c r="O485" t="s">
        <v>28</v>
      </c>
      <c r="P485" t="s">
        <v>12</v>
      </c>
      <c r="Q485" s="5">
        <f>tbl_financials[[#This Row],[Net_Sales]]</f>
        <v>284512.5</v>
      </c>
      <c r="R485" s="5">
        <f>ROUND(tbl_financials[[#This Row],[Revenue]]*(0.12+MOD(ROW(),7)/100),2)</f>
        <v>39831.75</v>
      </c>
      <c r="S485" s="7">
        <f t="shared" si="7"/>
        <v>7035</v>
      </c>
      <c r="T485" s="5">
        <f>tbl_financials[[#This Row],[Gross_Profit]]-tbl_financials[[#This Row],[Operating_Expenses]]+tbl_financials[[#This Row],[Other_Income]]</f>
        <v>-51764.25</v>
      </c>
      <c r="U485" s="11">
        <f>IF(tbl_financials[[#This Row],[Revenue]]=0,0,tbl_financials[[#This Row],[Net_Profit]]/tbl_financials[[#This Row],[Revenue]])</f>
        <v>-0.18194016080137076</v>
      </c>
      <c r="V485" s="11" t="str">
        <f>tbl_financials[[#This Row],[Month_Name]] &amp; "_" &amp; tbl_financials[[#This Row],[Year]]</f>
        <v>November_2014</v>
      </c>
      <c r="W485" s="11" t="str">
        <f>tbl_financials[[#This Row],[Month_Name]] &amp; "_" &amp; (tbl_financials[[#This Row],[Year]]-1)</f>
        <v>November_2013</v>
      </c>
      <c r="X48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-0.52875776397515528</v>
      </c>
    </row>
    <row r="486" spans="1:24" x14ac:dyDescent="0.3">
      <c r="A486" t="s">
        <v>7</v>
      </c>
      <c r="B486" t="s">
        <v>16</v>
      </c>
      <c r="C486" t="s">
        <v>36</v>
      </c>
      <c r="D486" t="s">
        <v>41</v>
      </c>
      <c r="E486" s="9">
        <v>1870</v>
      </c>
      <c r="F486" s="7">
        <v>250</v>
      </c>
      <c r="G486" s="7">
        <v>350</v>
      </c>
      <c r="H486" s="7">
        <v>654500</v>
      </c>
      <c r="I486" s="5">
        <v>65450</v>
      </c>
      <c r="J486" s="5">
        <v>589050</v>
      </c>
      <c r="K486" s="7">
        <v>486200</v>
      </c>
      <c r="L486" s="5">
        <v>102850</v>
      </c>
      <c r="M486" s="1">
        <v>41609</v>
      </c>
      <c r="N486">
        <v>12</v>
      </c>
      <c r="O486" t="s">
        <v>29</v>
      </c>
      <c r="P486" t="s">
        <v>11</v>
      </c>
      <c r="Q486" s="5">
        <f>tbl_financials[[#This Row],[Net_Sales]]</f>
        <v>589050</v>
      </c>
      <c r="R486" s="5">
        <f>ROUND(tbl_financials[[#This Row],[Revenue]]*(0.12+MOD(ROW(),7)/100),2)</f>
        <v>88357.5</v>
      </c>
      <c r="S486" s="7">
        <f t="shared" si="7"/>
        <v>7066</v>
      </c>
      <c r="T486" s="5">
        <f>tbl_financials[[#This Row],[Gross_Profit]]-tbl_financials[[#This Row],[Operating_Expenses]]+tbl_financials[[#This Row],[Other_Income]]</f>
        <v>21558.5</v>
      </c>
      <c r="U486" s="11">
        <f>IF(tbl_financials[[#This Row],[Revenue]]=0,0,tbl_financials[[#This Row],[Net_Profit]]/tbl_financials[[#This Row],[Revenue]])</f>
        <v>3.6598760716407774E-2</v>
      </c>
      <c r="V486" s="11" t="str">
        <f>tbl_financials[[#This Row],[Month_Name]] &amp; "_" &amp; tbl_financials[[#This Row],[Year]]</f>
        <v>December_2013</v>
      </c>
      <c r="W486" s="11" t="str">
        <f>tbl_financials[[#This Row],[Month_Name]] &amp; "_" &amp; (tbl_financials[[#This Row],[Year]]-1)</f>
        <v>December_2012</v>
      </c>
      <c r="X48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87" spans="1:24" x14ac:dyDescent="0.3">
      <c r="A487" t="s">
        <v>6</v>
      </c>
      <c r="B487" t="s">
        <v>14</v>
      </c>
      <c r="C487" t="s">
        <v>37</v>
      </c>
      <c r="D487" t="s">
        <v>41</v>
      </c>
      <c r="E487" s="9">
        <v>579</v>
      </c>
      <c r="F487" s="7">
        <v>260</v>
      </c>
      <c r="G487" s="7">
        <v>125</v>
      </c>
      <c r="H487" s="7">
        <v>72375</v>
      </c>
      <c r="I487" s="5">
        <v>7237.5</v>
      </c>
      <c r="J487" s="5">
        <v>65137.5</v>
      </c>
      <c r="K487" s="7">
        <v>69480</v>
      </c>
      <c r="L487" s="5">
        <v>-4342.5</v>
      </c>
      <c r="M487" s="1">
        <v>41640</v>
      </c>
      <c r="N487">
        <v>1</v>
      </c>
      <c r="O487" t="s">
        <v>18</v>
      </c>
      <c r="P487" t="s">
        <v>12</v>
      </c>
      <c r="Q487" s="5">
        <f>tbl_financials[[#This Row],[Net_Sales]]</f>
        <v>65137.5</v>
      </c>
      <c r="R487" s="5">
        <f>ROUND(tbl_financials[[#This Row],[Revenue]]*(0.12+MOD(ROW(),7)/100),2)</f>
        <v>10422</v>
      </c>
      <c r="S487" s="7">
        <f t="shared" si="7"/>
        <v>7097</v>
      </c>
      <c r="T487" s="5">
        <f>tbl_financials[[#This Row],[Gross_Profit]]-tbl_financials[[#This Row],[Operating_Expenses]]+tbl_financials[[#This Row],[Other_Income]]</f>
        <v>-7667.5</v>
      </c>
      <c r="U487" s="11">
        <f>IF(tbl_financials[[#This Row],[Revenue]]=0,0,tbl_financials[[#This Row],[Net_Profit]]/tbl_financials[[#This Row],[Revenue]])</f>
        <v>-0.11771253118403377</v>
      </c>
      <c r="V487" s="11" t="str">
        <f>tbl_financials[[#This Row],[Month_Name]] &amp; "_" &amp; tbl_financials[[#This Row],[Year]]</f>
        <v>January_2014</v>
      </c>
      <c r="W487" s="11" t="str">
        <f>tbl_financials[[#This Row],[Month_Name]] &amp; "_" &amp; (tbl_financials[[#This Row],[Year]]-1)</f>
        <v>January_2013</v>
      </c>
      <c r="X48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88" spans="1:24" x14ac:dyDescent="0.3">
      <c r="A488" t="s">
        <v>7</v>
      </c>
      <c r="B488" t="s">
        <v>13</v>
      </c>
      <c r="C488" t="s">
        <v>37</v>
      </c>
      <c r="D488" t="s">
        <v>41</v>
      </c>
      <c r="E488" s="9">
        <v>2240</v>
      </c>
      <c r="F488" s="7">
        <v>260</v>
      </c>
      <c r="G488" s="7">
        <v>350</v>
      </c>
      <c r="H488" s="7">
        <v>784000</v>
      </c>
      <c r="I488" s="5">
        <v>78400</v>
      </c>
      <c r="J488" s="5">
        <v>705600</v>
      </c>
      <c r="K488" s="7">
        <v>582400</v>
      </c>
      <c r="L488" s="5">
        <v>123200</v>
      </c>
      <c r="M488" s="1">
        <v>41671</v>
      </c>
      <c r="N488">
        <v>2</v>
      </c>
      <c r="O488" t="s">
        <v>19</v>
      </c>
      <c r="P488" t="s">
        <v>12</v>
      </c>
      <c r="Q488" s="5">
        <f>tbl_financials[[#This Row],[Net_Sales]]</f>
        <v>705600</v>
      </c>
      <c r="R488" s="5">
        <f>ROUND(tbl_financials[[#This Row],[Revenue]]*(0.12+MOD(ROW(),7)/100),2)</f>
        <v>119952</v>
      </c>
      <c r="S488" s="7">
        <f t="shared" si="7"/>
        <v>7128</v>
      </c>
      <c r="T488" s="5">
        <f>tbl_financials[[#This Row],[Gross_Profit]]-tbl_financials[[#This Row],[Operating_Expenses]]+tbl_financials[[#This Row],[Other_Income]]</f>
        <v>10376</v>
      </c>
      <c r="U488" s="11">
        <f>IF(tbl_financials[[#This Row],[Revenue]]=0,0,tbl_financials[[#This Row],[Net_Profit]]/tbl_financials[[#This Row],[Revenue]])</f>
        <v>1.4705215419501134E-2</v>
      </c>
      <c r="V488" s="11" t="str">
        <f>tbl_financials[[#This Row],[Month_Name]] &amp; "_" &amp; tbl_financials[[#This Row],[Year]]</f>
        <v>February_2014</v>
      </c>
      <c r="W488" s="11" t="str">
        <f>tbl_financials[[#This Row],[Month_Name]] &amp; "_" &amp; (tbl_financials[[#This Row],[Year]]-1)</f>
        <v>February_2013</v>
      </c>
      <c r="X48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89" spans="1:24" x14ac:dyDescent="0.3">
      <c r="A489" t="s">
        <v>4</v>
      </c>
      <c r="B489" t="s">
        <v>14</v>
      </c>
      <c r="C489" t="s">
        <v>37</v>
      </c>
      <c r="D489" t="s">
        <v>41</v>
      </c>
      <c r="E489" s="9">
        <v>2993</v>
      </c>
      <c r="F489" s="7">
        <v>260</v>
      </c>
      <c r="G489" s="7">
        <v>300</v>
      </c>
      <c r="H489" s="7">
        <v>897900</v>
      </c>
      <c r="I489" s="5">
        <v>89790</v>
      </c>
      <c r="J489" s="5">
        <v>808110</v>
      </c>
      <c r="K489" s="7">
        <v>748250</v>
      </c>
      <c r="L489" s="5">
        <v>59860</v>
      </c>
      <c r="M489" s="1">
        <v>41699</v>
      </c>
      <c r="N489">
        <v>3</v>
      </c>
      <c r="O489" t="s">
        <v>20</v>
      </c>
      <c r="P489" t="s">
        <v>12</v>
      </c>
      <c r="Q489" s="5">
        <f>tbl_financials[[#This Row],[Net_Sales]]</f>
        <v>808110</v>
      </c>
      <c r="R489" s="5">
        <f>ROUND(tbl_financials[[#This Row],[Revenue]]*(0.12+MOD(ROW(),7)/100),2)</f>
        <v>145459.79999999999</v>
      </c>
      <c r="S489" s="7">
        <f t="shared" si="7"/>
        <v>7159</v>
      </c>
      <c r="T489" s="5">
        <f>tbl_financials[[#This Row],[Gross_Profit]]-tbl_financials[[#This Row],[Operating_Expenses]]+tbl_financials[[#This Row],[Other_Income]]</f>
        <v>-78440.799999999988</v>
      </c>
      <c r="U489" s="11">
        <f>IF(tbl_financials[[#This Row],[Revenue]]=0,0,tbl_financials[[#This Row],[Net_Profit]]/tbl_financials[[#This Row],[Revenue]])</f>
        <v>-9.7066983455222661E-2</v>
      </c>
      <c r="V489" s="11" t="str">
        <f>tbl_financials[[#This Row],[Month_Name]] &amp; "_" &amp; tbl_financials[[#This Row],[Year]]</f>
        <v>March_2014</v>
      </c>
      <c r="W489" s="11" t="str">
        <f>tbl_financials[[#This Row],[Month_Name]] &amp; "_" &amp; (tbl_financials[[#This Row],[Year]]-1)</f>
        <v>March_2013</v>
      </c>
      <c r="X48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90" spans="1:24" x14ac:dyDescent="0.3">
      <c r="A490" t="s">
        <v>8</v>
      </c>
      <c r="B490" t="s">
        <v>13</v>
      </c>
      <c r="C490" t="s">
        <v>37</v>
      </c>
      <c r="D490" t="s">
        <v>41</v>
      </c>
      <c r="E490" s="9">
        <v>3520.5</v>
      </c>
      <c r="F490" s="7">
        <v>260</v>
      </c>
      <c r="G490" s="7">
        <v>12</v>
      </c>
      <c r="H490" s="7">
        <v>42246</v>
      </c>
      <c r="I490" s="5">
        <v>4224.6000000000004</v>
      </c>
      <c r="J490" s="5">
        <v>38021.3999999999</v>
      </c>
      <c r="K490" s="7">
        <v>10561.5</v>
      </c>
      <c r="L490" s="5">
        <v>27459.8999999999</v>
      </c>
      <c r="M490" s="1">
        <v>41730</v>
      </c>
      <c r="N490">
        <v>4</v>
      </c>
      <c r="O490" t="s">
        <v>21</v>
      </c>
      <c r="P490" t="s">
        <v>12</v>
      </c>
      <c r="Q490" s="5">
        <f>tbl_financials[[#This Row],[Net_Sales]]</f>
        <v>38021.3999999999</v>
      </c>
      <c r="R490" s="5">
        <f>ROUND(tbl_financials[[#This Row],[Revenue]]*(0.12+MOD(ROW(),7)/100),2)</f>
        <v>4562.57</v>
      </c>
      <c r="S490" s="7">
        <f t="shared" si="7"/>
        <v>7190</v>
      </c>
      <c r="T490" s="5">
        <f>tbl_financials[[#This Row],[Gross_Profit]]-tbl_financials[[#This Row],[Operating_Expenses]]+tbl_financials[[#This Row],[Other_Income]]</f>
        <v>30087.3299999999</v>
      </c>
      <c r="U490" s="11">
        <f>IF(tbl_financials[[#This Row],[Revenue]]=0,0,tbl_financials[[#This Row],[Net_Profit]]/tbl_financials[[#This Row],[Revenue]])</f>
        <v>0.7913262005081344</v>
      </c>
      <c r="V490" s="11" t="str">
        <f>tbl_financials[[#This Row],[Month_Name]] &amp; "_" &amp; tbl_financials[[#This Row],[Year]]</f>
        <v>April_2014</v>
      </c>
      <c r="W490" s="11" t="str">
        <f>tbl_financials[[#This Row],[Month_Name]] &amp; "_" &amp; (tbl_financials[[#This Row],[Year]]-1)</f>
        <v>April_2013</v>
      </c>
      <c r="X49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91" spans="1:24" x14ac:dyDescent="0.3">
      <c r="A491" t="s">
        <v>7</v>
      </c>
      <c r="B491" t="s">
        <v>17</v>
      </c>
      <c r="C491" t="s">
        <v>37</v>
      </c>
      <c r="D491" t="s">
        <v>41</v>
      </c>
      <c r="E491" s="9">
        <v>2039</v>
      </c>
      <c r="F491" s="7">
        <v>260</v>
      </c>
      <c r="G491" s="7">
        <v>20</v>
      </c>
      <c r="H491" s="7">
        <v>40780</v>
      </c>
      <c r="I491" s="5">
        <v>4078</v>
      </c>
      <c r="J491" s="5">
        <v>36702</v>
      </c>
      <c r="K491" s="7">
        <v>20390</v>
      </c>
      <c r="L491" s="5">
        <v>16312</v>
      </c>
      <c r="M491" s="1">
        <v>41760</v>
      </c>
      <c r="N491">
        <v>5</v>
      </c>
      <c r="O491" t="s">
        <v>22</v>
      </c>
      <c r="P491" t="s">
        <v>12</v>
      </c>
      <c r="Q491" s="5">
        <f>tbl_financials[[#This Row],[Net_Sales]]</f>
        <v>36702</v>
      </c>
      <c r="R491" s="5">
        <f>ROUND(tbl_financials[[#This Row],[Revenue]]*(0.12+MOD(ROW(),7)/100),2)</f>
        <v>4771.26</v>
      </c>
      <c r="S491" s="7">
        <f t="shared" si="7"/>
        <v>7221</v>
      </c>
      <c r="T491" s="5">
        <f>tbl_financials[[#This Row],[Gross_Profit]]-tbl_financials[[#This Row],[Operating_Expenses]]+tbl_financials[[#This Row],[Other_Income]]</f>
        <v>18761.739999999998</v>
      </c>
      <c r="U491" s="11">
        <f>IF(tbl_financials[[#This Row],[Revenue]]=0,0,tbl_financials[[#This Row],[Net_Profit]]/tbl_financials[[#This Row],[Revenue]])</f>
        <v>0.51119121573756188</v>
      </c>
      <c r="V491" s="11" t="str">
        <f>tbl_financials[[#This Row],[Month_Name]] &amp; "_" &amp; tbl_financials[[#This Row],[Year]]</f>
        <v>May_2014</v>
      </c>
      <c r="W491" s="11" t="str">
        <f>tbl_financials[[#This Row],[Month_Name]] &amp; "_" &amp; (tbl_financials[[#This Row],[Year]]-1)</f>
        <v>May_2013</v>
      </c>
      <c r="X49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92" spans="1:24" x14ac:dyDescent="0.3">
      <c r="A492" t="s">
        <v>8</v>
      </c>
      <c r="B492" t="s">
        <v>16</v>
      </c>
      <c r="C492" t="s">
        <v>37</v>
      </c>
      <c r="D492" t="s">
        <v>41</v>
      </c>
      <c r="E492" s="9">
        <v>2574</v>
      </c>
      <c r="F492" s="7">
        <v>260</v>
      </c>
      <c r="G492" s="7">
        <v>12</v>
      </c>
      <c r="H492" s="7">
        <v>30888</v>
      </c>
      <c r="I492" s="5">
        <v>3088.8</v>
      </c>
      <c r="J492" s="5">
        <v>27799.200000000001</v>
      </c>
      <c r="K492" s="7">
        <v>7722</v>
      </c>
      <c r="L492" s="5">
        <v>20077.2</v>
      </c>
      <c r="M492" s="1">
        <v>41852</v>
      </c>
      <c r="N492">
        <v>8</v>
      </c>
      <c r="O492" t="s">
        <v>25</v>
      </c>
      <c r="P492" t="s">
        <v>12</v>
      </c>
      <c r="Q492" s="5">
        <f>tbl_financials[[#This Row],[Net_Sales]]</f>
        <v>27799.200000000001</v>
      </c>
      <c r="R492" s="5">
        <f>ROUND(tbl_financials[[#This Row],[Revenue]]*(0.12+MOD(ROW(),7)/100),2)</f>
        <v>3891.89</v>
      </c>
      <c r="S492" s="7">
        <f t="shared" si="7"/>
        <v>7252</v>
      </c>
      <c r="T492" s="5">
        <f>tbl_financials[[#This Row],[Gross_Profit]]-tbl_financials[[#This Row],[Operating_Expenses]]+tbl_financials[[#This Row],[Other_Income]]</f>
        <v>23437.31</v>
      </c>
      <c r="U492" s="11">
        <f>IF(tbl_financials[[#This Row],[Revenue]]=0,0,tbl_financials[[#This Row],[Net_Profit]]/tbl_financials[[#This Row],[Revenue]])</f>
        <v>0.84309296670407785</v>
      </c>
      <c r="V492" s="11" t="str">
        <f>tbl_financials[[#This Row],[Month_Name]] &amp; "_" &amp; tbl_financials[[#This Row],[Year]]</f>
        <v>August_2014</v>
      </c>
      <c r="W492" s="11" t="str">
        <f>tbl_financials[[#This Row],[Month_Name]] &amp; "_" &amp; (tbl_financials[[#This Row],[Year]]-1)</f>
        <v>August_2013</v>
      </c>
      <c r="X49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93" spans="1:24" x14ac:dyDescent="0.3">
      <c r="A493" t="s">
        <v>7</v>
      </c>
      <c r="B493" t="s">
        <v>13</v>
      </c>
      <c r="C493" t="s">
        <v>37</v>
      </c>
      <c r="D493" t="s">
        <v>41</v>
      </c>
      <c r="E493" s="9">
        <v>707</v>
      </c>
      <c r="F493" s="7">
        <v>260</v>
      </c>
      <c r="G493" s="7">
        <v>350</v>
      </c>
      <c r="H493" s="7">
        <v>247450</v>
      </c>
      <c r="I493" s="5">
        <v>24745</v>
      </c>
      <c r="J493" s="5">
        <v>222705</v>
      </c>
      <c r="K493" s="7">
        <v>183820</v>
      </c>
      <c r="L493" s="5">
        <v>38885</v>
      </c>
      <c r="M493" s="1">
        <v>41883</v>
      </c>
      <c r="N493">
        <v>9</v>
      </c>
      <c r="O493" t="s">
        <v>26</v>
      </c>
      <c r="P493" t="s">
        <v>12</v>
      </c>
      <c r="Q493" s="5">
        <f>tbl_financials[[#This Row],[Net_Sales]]</f>
        <v>222705</v>
      </c>
      <c r="R493" s="5">
        <f>ROUND(tbl_financials[[#This Row],[Revenue]]*(0.12+MOD(ROW(),7)/100),2)</f>
        <v>33405.75</v>
      </c>
      <c r="S493" s="7">
        <f t="shared" si="7"/>
        <v>7283</v>
      </c>
      <c r="T493" s="5">
        <f>tbl_financials[[#This Row],[Gross_Profit]]-tbl_financials[[#This Row],[Operating_Expenses]]+tbl_financials[[#This Row],[Other_Income]]</f>
        <v>12762.25</v>
      </c>
      <c r="U493" s="11">
        <f>IF(tbl_financials[[#This Row],[Revenue]]=0,0,tbl_financials[[#This Row],[Net_Profit]]/tbl_financials[[#This Row],[Revenue]])</f>
        <v>5.7305628522035877E-2</v>
      </c>
      <c r="V493" s="11" t="str">
        <f>tbl_financials[[#This Row],[Month_Name]] &amp; "_" &amp; tbl_financials[[#This Row],[Year]]</f>
        <v>September_2014</v>
      </c>
      <c r="W493" s="11" t="str">
        <f>tbl_financials[[#This Row],[Month_Name]] &amp; "_" &amp; (tbl_financials[[#This Row],[Year]]-1)</f>
        <v>September_2013</v>
      </c>
      <c r="X49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26.043715846994534</v>
      </c>
    </row>
    <row r="494" spans="1:24" x14ac:dyDescent="0.3">
      <c r="A494" t="s">
        <v>5</v>
      </c>
      <c r="B494" t="s">
        <v>15</v>
      </c>
      <c r="C494" t="s">
        <v>37</v>
      </c>
      <c r="D494" t="s">
        <v>41</v>
      </c>
      <c r="E494" s="9">
        <v>2072</v>
      </c>
      <c r="F494" s="7">
        <v>260</v>
      </c>
      <c r="G494" s="7">
        <v>15</v>
      </c>
      <c r="H494" s="7">
        <v>31080</v>
      </c>
      <c r="I494" s="5">
        <v>3108</v>
      </c>
      <c r="J494" s="5">
        <v>27972</v>
      </c>
      <c r="K494" s="7">
        <v>20720</v>
      </c>
      <c r="L494" s="5">
        <v>7252</v>
      </c>
      <c r="M494" s="1">
        <v>41974</v>
      </c>
      <c r="N494">
        <v>12</v>
      </c>
      <c r="O494" t="s">
        <v>29</v>
      </c>
      <c r="P494" t="s">
        <v>12</v>
      </c>
      <c r="Q494" s="5">
        <f>tbl_financials[[#This Row],[Net_Sales]]</f>
        <v>27972</v>
      </c>
      <c r="R494" s="5">
        <f>ROUND(tbl_financials[[#This Row],[Revenue]]*(0.12+MOD(ROW(),7)/100),2)</f>
        <v>4475.5200000000004</v>
      </c>
      <c r="S494" s="7">
        <f t="shared" si="7"/>
        <v>7314</v>
      </c>
      <c r="T494" s="5">
        <f>tbl_financials[[#This Row],[Gross_Profit]]-tbl_financials[[#This Row],[Operating_Expenses]]+tbl_financials[[#This Row],[Other_Income]]</f>
        <v>10090.48</v>
      </c>
      <c r="U494" s="11">
        <f>IF(tbl_financials[[#This Row],[Revenue]]=0,0,tbl_financials[[#This Row],[Net_Profit]]/tbl_financials[[#This Row],[Revenue]])</f>
        <v>0.36073502073502073</v>
      </c>
      <c r="V494" s="11" t="str">
        <f>tbl_financials[[#This Row],[Month_Name]] &amp; "_" &amp; tbl_financials[[#This Row],[Year]]</f>
        <v>December_2014</v>
      </c>
      <c r="W494" s="11" t="str">
        <f>tbl_financials[[#This Row],[Month_Name]] &amp; "_" &amp; (tbl_financials[[#This Row],[Year]]-1)</f>
        <v>December_2013</v>
      </c>
      <c r="X49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-0.13345724907063197</v>
      </c>
    </row>
    <row r="495" spans="1:24" x14ac:dyDescent="0.3">
      <c r="A495" t="s">
        <v>4</v>
      </c>
      <c r="B495" t="s">
        <v>15</v>
      </c>
      <c r="C495" t="s">
        <v>37</v>
      </c>
      <c r="D495" t="s">
        <v>41</v>
      </c>
      <c r="E495" s="9">
        <v>853</v>
      </c>
      <c r="F495" s="7">
        <v>260</v>
      </c>
      <c r="G495" s="7">
        <v>300</v>
      </c>
      <c r="H495" s="7">
        <v>255900</v>
      </c>
      <c r="I495" s="5">
        <v>25590</v>
      </c>
      <c r="J495" s="5">
        <v>230310</v>
      </c>
      <c r="K495" s="7">
        <v>213250</v>
      </c>
      <c r="L495" s="5">
        <v>17060</v>
      </c>
      <c r="M495" s="1">
        <v>41974</v>
      </c>
      <c r="N495">
        <v>12</v>
      </c>
      <c r="O495" t="s">
        <v>29</v>
      </c>
      <c r="P495" t="s">
        <v>12</v>
      </c>
      <c r="Q495" s="5">
        <f>tbl_financials[[#This Row],[Net_Sales]]</f>
        <v>230310</v>
      </c>
      <c r="R495" s="5">
        <f>ROUND(tbl_financials[[#This Row],[Revenue]]*(0.12+MOD(ROW(),7)/100),2)</f>
        <v>39152.699999999997</v>
      </c>
      <c r="S495" s="7">
        <f t="shared" si="7"/>
        <v>7345</v>
      </c>
      <c r="T495" s="5">
        <f>tbl_financials[[#This Row],[Gross_Profit]]-tbl_financials[[#This Row],[Operating_Expenses]]+tbl_financials[[#This Row],[Other_Income]]</f>
        <v>-14747.699999999997</v>
      </c>
      <c r="U495" s="11">
        <f>IF(tbl_financials[[#This Row],[Revenue]]=0,0,tbl_financials[[#This Row],[Net_Profit]]/tbl_financials[[#This Row],[Revenue]])</f>
        <v>-6.4034127914549946E-2</v>
      </c>
      <c r="V495" s="11" t="str">
        <f>tbl_financials[[#This Row],[Month_Name]] &amp; "_" &amp; tbl_financials[[#This Row],[Year]]</f>
        <v>December_2014</v>
      </c>
      <c r="W495" s="11" t="str">
        <f>tbl_financials[[#This Row],[Month_Name]] &amp; "_" &amp; (tbl_financials[[#This Row],[Year]]-1)</f>
        <v>December_2013</v>
      </c>
      <c r="X49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6.1347583643122681</v>
      </c>
    </row>
    <row r="496" spans="1:24" x14ac:dyDescent="0.3">
      <c r="A496" t="s">
        <v>8</v>
      </c>
      <c r="B496" t="s">
        <v>15</v>
      </c>
      <c r="C496" t="s">
        <v>32</v>
      </c>
      <c r="D496" t="s">
        <v>41</v>
      </c>
      <c r="E496" s="9">
        <v>1198</v>
      </c>
      <c r="F496" s="7">
        <v>3</v>
      </c>
      <c r="G496" s="7">
        <v>12</v>
      </c>
      <c r="H496" s="7">
        <v>14376</v>
      </c>
      <c r="I496" s="5">
        <v>1581.36</v>
      </c>
      <c r="J496" s="5">
        <v>12794.64</v>
      </c>
      <c r="K496" s="7">
        <v>3594</v>
      </c>
      <c r="L496" s="5">
        <v>9200.64</v>
      </c>
      <c r="M496" s="1">
        <v>41548</v>
      </c>
      <c r="N496">
        <v>10</v>
      </c>
      <c r="O496" t="s">
        <v>27</v>
      </c>
      <c r="P496" t="s">
        <v>11</v>
      </c>
      <c r="Q496" s="5">
        <f>tbl_financials[[#This Row],[Net_Sales]]</f>
        <v>12794.64</v>
      </c>
      <c r="R496" s="5">
        <f>ROUND(tbl_financials[[#This Row],[Revenue]]*(0.12+MOD(ROW(),7)/100),2)</f>
        <v>2303.04</v>
      </c>
      <c r="S496" s="7">
        <f t="shared" si="7"/>
        <v>7376</v>
      </c>
      <c r="T496" s="5">
        <f>tbl_financials[[#This Row],[Gross_Profit]]-tbl_financials[[#This Row],[Operating_Expenses]]+tbl_financials[[#This Row],[Other_Income]]</f>
        <v>14273.599999999999</v>
      </c>
      <c r="U496" s="11">
        <f>IF(tbl_financials[[#This Row],[Revenue]]=0,0,tbl_financials[[#This Row],[Net_Profit]]/tbl_financials[[#This Row],[Revenue]])</f>
        <v>1.1155921542145772</v>
      </c>
      <c r="V496" s="11" t="str">
        <f>tbl_financials[[#This Row],[Month_Name]] &amp; "_" &amp; tbl_financials[[#This Row],[Year]]</f>
        <v>October_2013</v>
      </c>
      <c r="W496" s="11" t="str">
        <f>tbl_financials[[#This Row],[Month_Name]] &amp; "_" &amp; (tbl_financials[[#This Row],[Year]]-1)</f>
        <v>October_2012</v>
      </c>
      <c r="X49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97" spans="1:24" x14ac:dyDescent="0.3">
      <c r="A497" t="s">
        <v>7</v>
      </c>
      <c r="B497" t="s">
        <v>15</v>
      </c>
      <c r="C497" t="s">
        <v>34</v>
      </c>
      <c r="D497" t="s">
        <v>41</v>
      </c>
      <c r="E497" s="9">
        <v>2532</v>
      </c>
      <c r="F497" s="7">
        <v>10</v>
      </c>
      <c r="G497" s="7">
        <v>7</v>
      </c>
      <c r="H497" s="7">
        <v>17724</v>
      </c>
      <c r="I497" s="5">
        <v>1949.6399999999901</v>
      </c>
      <c r="J497" s="5">
        <v>15774.36</v>
      </c>
      <c r="K497" s="7">
        <v>12660</v>
      </c>
      <c r="L497" s="5">
        <v>3114.3599999999901</v>
      </c>
      <c r="M497" s="1">
        <v>41730</v>
      </c>
      <c r="N497">
        <v>4</v>
      </c>
      <c r="O497" t="s">
        <v>21</v>
      </c>
      <c r="P497" t="s">
        <v>12</v>
      </c>
      <c r="Q497" s="5">
        <f>tbl_financials[[#This Row],[Net_Sales]]</f>
        <v>15774.36</v>
      </c>
      <c r="R497" s="5">
        <f>ROUND(tbl_financials[[#This Row],[Revenue]]*(0.12+MOD(ROW(),7)/100),2)</f>
        <v>1892.92</v>
      </c>
      <c r="S497" s="7">
        <f t="shared" si="7"/>
        <v>7407</v>
      </c>
      <c r="T497" s="5">
        <f>tbl_financials[[#This Row],[Gross_Profit]]-tbl_financials[[#This Row],[Operating_Expenses]]+tbl_financials[[#This Row],[Other_Income]]</f>
        <v>8628.4399999999896</v>
      </c>
      <c r="U497" s="11">
        <f>IF(tbl_financials[[#This Row],[Revenue]]=0,0,tbl_financials[[#This Row],[Net_Profit]]/tbl_financials[[#This Row],[Revenue]])</f>
        <v>0.5469914468796192</v>
      </c>
      <c r="V497" s="11" t="str">
        <f>tbl_financials[[#This Row],[Month_Name]] &amp; "_" &amp; tbl_financials[[#This Row],[Year]]</f>
        <v>April_2014</v>
      </c>
      <c r="W497" s="11" t="str">
        <f>tbl_financials[[#This Row],[Month_Name]] &amp; "_" &amp; (tbl_financials[[#This Row],[Year]]-1)</f>
        <v>April_2013</v>
      </c>
      <c r="X49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98" spans="1:24" x14ac:dyDescent="0.3">
      <c r="A498" t="s">
        <v>8</v>
      </c>
      <c r="B498" t="s">
        <v>15</v>
      </c>
      <c r="C498" t="s">
        <v>34</v>
      </c>
      <c r="D498" t="s">
        <v>41</v>
      </c>
      <c r="E498" s="9">
        <v>1198</v>
      </c>
      <c r="F498" s="7">
        <v>10</v>
      </c>
      <c r="G498" s="7">
        <v>12</v>
      </c>
      <c r="H498" s="7">
        <v>14376</v>
      </c>
      <c r="I498" s="5">
        <v>1581.36</v>
      </c>
      <c r="J498" s="5">
        <v>12794.64</v>
      </c>
      <c r="K498" s="7">
        <v>3594</v>
      </c>
      <c r="L498" s="5">
        <v>9200.64</v>
      </c>
      <c r="M498" s="1">
        <v>41548</v>
      </c>
      <c r="N498">
        <v>10</v>
      </c>
      <c r="O498" t="s">
        <v>27</v>
      </c>
      <c r="P498" t="s">
        <v>11</v>
      </c>
      <c r="Q498" s="5">
        <f>tbl_financials[[#This Row],[Net_Sales]]</f>
        <v>12794.64</v>
      </c>
      <c r="R498" s="5">
        <f>ROUND(tbl_financials[[#This Row],[Revenue]]*(0.12+MOD(ROW(),7)/100),2)</f>
        <v>1663.3</v>
      </c>
      <c r="S498" s="7">
        <f t="shared" si="7"/>
        <v>7438</v>
      </c>
      <c r="T498" s="5">
        <f>tbl_financials[[#This Row],[Gross_Profit]]-tbl_financials[[#This Row],[Operating_Expenses]]+tbl_financials[[#This Row],[Other_Income]]</f>
        <v>14975.34</v>
      </c>
      <c r="U498" s="11">
        <f>IF(tbl_financials[[#This Row],[Revenue]]=0,0,tbl_financials[[#This Row],[Net_Profit]]/tbl_financials[[#This Row],[Revenue]])</f>
        <v>1.1704385586464332</v>
      </c>
      <c r="V498" s="11" t="str">
        <f>tbl_financials[[#This Row],[Month_Name]] &amp; "_" &amp; tbl_financials[[#This Row],[Year]]</f>
        <v>October_2013</v>
      </c>
      <c r="W498" s="11" t="str">
        <f>tbl_financials[[#This Row],[Month_Name]] &amp; "_" &amp; (tbl_financials[[#This Row],[Year]]-1)</f>
        <v>October_2012</v>
      </c>
      <c r="X49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499" spans="1:24" x14ac:dyDescent="0.3">
      <c r="A499" t="s">
        <v>5</v>
      </c>
      <c r="B499" t="s">
        <v>13</v>
      </c>
      <c r="C499" t="s">
        <v>35</v>
      </c>
      <c r="D499" t="s">
        <v>41</v>
      </c>
      <c r="E499" s="9">
        <v>384</v>
      </c>
      <c r="F499" s="7">
        <v>120</v>
      </c>
      <c r="G499" s="7">
        <v>15</v>
      </c>
      <c r="H499" s="7">
        <v>5760</v>
      </c>
      <c r="I499" s="5">
        <v>633.599999999999</v>
      </c>
      <c r="J499" s="5">
        <v>5126.3999999999996</v>
      </c>
      <c r="K499" s="7">
        <v>3840</v>
      </c>
      <c r="L499" s="5">
        <v>1286.3999999999901</v>
      </c>
      <c r="M499" s="1">
        <v>41640</v>
      </c>
      <c r="N499">
        <v>1</v>
      </c>
      <c r="O499" t="s">
        <v>18</v>
      </c>
      <c r="P499" t="s">
        <v>12</v>
      </c>
      <c r="Q499" s="5">
        <f>tbl_financials[[#This Row],[Net_Sales]]</f>
        <v>5126.3999999999996</v>
      </c>
      <c r="R499" s="5">
        <f>ROUND(tbl_financials[[#This Row],[Revenue]]*(0.12+MOD(ROW(),7)/100),2)</f>
        <v>717.7</v>
      </c>
      <c r="S499" s="7">
        <f t="shared" si="7"/>
        <v>7469</v>
      </c>
      <c r="T499" s="5">
        <f>tbl_financials[[#This Row],[Gross_Profit]]-tbl_financials[[#This Row],[Operating_Expenses]]+tbl_financials[[#This Row],[Other_Income]]</f>
        <v>8037.6999999999898</v>
      </c>
      <c r="U499" s="11">
        <f>IF(tbl_financials[[#This Row],[Revenue]]=0,0,tbl_financials[[#This Row],[Net_Profit]]/tbl_financials[[#This Row],[Revenue]])</f>
        <v>1.5679034019975013</v>
      </c>
      <c r="V499" s="11" t="str">
        <f>tbl_financials[[#This Row],[Month_Name]] &amp; "_" &amp; tbl_financials[[#This Row],[Year]]</f>
        <v>January_2014</v>
      </c>
      <c r="W499" s="11" t="str">
        <f>tbl_financials[[#This Row],[Month_Name]] &amp; "_" &amp; (tbl_financials[[#This Row],[Year]]-1)</f>
        <v>January_2013</v>
      </c>
      <c r="X49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00" spans="1:24" x14ac:dyDescent="0.3">
      <c r="A500" t="s">
        <v>8</v>
      </c>
      <c r="B500" t="s">
        <v>16</v>
      </c>
      <c r="C500" t="s">
        <v>35</v>
      </c>
      <c r="D500" t="s">
        <v>41</v>
      </c>
      <c r="E500" s="9">
        <v>472</v>
      </c>
      <c r="F500" s="7">
        <v>120</v>
      </c>
      <c r="G500" s="7">
        <v>12</v>
      </c>
      <c r="H500" s="7">
        <v>5664</v>
      </c>
      <c r="I500" s="5">
        <v>623.04</v>
      </c>
      <c r="J500" s="5">
        <v>5040.96</v>
      </c>
      <c r="K500" s="7">
        <v>1416</v>
      </c>
      <c r="L500" s="5">
        <v>3624.96</v>
      </c>
      <c r="M500" s="1">
        <v>41913</v>
      </c>
      <c r="N500">
        <v>10</v>
      </c>
      <c r="O500" t="s">
        <v>27</v>
      </c>
      <c r="P500" t="s">
        <v>12</v>
      </c>
      <c r="Q500" s="5">
        <f>tbl_financials[[#This Row],[Net_Sales]]</f>
        <v>5040.96</v>
      </c>
      <c r="R500" s="5">
        <f>ROUND(tbl_financials[[#This Row],[Revenue]]*(0.12+MOD(ROW(),7)/100),2)</f>
        <v>756.14</v>
      </c>
      <c r="S500" s="7">
        <f t="shared" si="7"/>
        <v>7500</v>
      </c>
      <c r="T500" s="5">
        <f>tbl_financials[[#This Row],[Gross_Profit]]-tbl_financials[[#This Row],[Operating_Expenses]]+tbl_financials[[#This Row],[Other_Income]]</f>
        <v>10368.82</v>
      </c>
      <c r="U500" s="11">
        <f>IF(tbl_financials[[#This Row],[Revenue]]=0,0,tbl_financials[[#This Row],[Net_Profit]]/tbl_financials[[#This Row],[Revenue]])</f>
        <v>2.0569137624579446</v>
      </c>
      <c r="V500" s="11" t="str">
        <f>tbl_financials[[#This Row],[Month_Name]] &amp; "_" &amp; tbl_financials[[#This Row],[Year]]</f>
        <v>October_2014</v>
      </c>
      <c r="W500" s="11" t="str">
        <f>tbl_financials[[#This Row],[Month_Name]] &amp; "_" &amp; (tbl_financials[[#This Row],[Year]]-1)</f>
        <v>October_2013</v>
      </c>
      <c r="X50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-0.88310817391304353</v>
      </c>
    </row>
    <row r="501" spans="1:24" x14ac:dyDescent="0.3">
      <c r="A501" t="s">
        <v>7</v>
      </c>
      <c r="B501" t="s">
        <v>14</v>
      </c>
      <c r="C501" t="s">
        <v>36</v>
      </c>
      <c r="D501" t="s">
        <v>41</v>
      </c>
      <c r="E501" s="9">
        <v>1579</v>
      </c>
      <c r="F501" s="7">
        <v>250</v>
      </c>
      <c r="G501" s="7">
        <v>7</v>
      </c>
      <c r="H501" s="7">
        <v>11053</v>
      </c>
      <c r="I501" s="5">
        <v>1215.83</v>
      </c>
      <c r="J501" s="5">
        <v>9837.17</v>
      </c>
      <c r="K501" s="7">
        <v>7895</v>
      </c>
      <c r="L501" s="5">
        <v>1942.17</v>
      </c>
      <c r="M501" s="1">
        <v>41699</v>
      </c>
      <c r="N501">
        <v>3</v>
      </c>
      <c r="O501" t="s">
        <v>20</v>
      </c>
      <c r="P501" t="s">
        <v>12</v>
      </c>
      <c r="Q501" s="5">
        <f>tbl_financials[[#This Row],[Net_Sales]]</f>
        <v>9837.17</v>
      </c>
      <c r="R501" s="5">
        <f>ROUND(tbl_financials[[#This Row],[Revenue]]*(0.12+MOD(ROW(),7)/100),2)</f>
        <v>1573.95</v>
      </c>
      <c r="S501" s="7">
        <f t="shared" si="7"/>
        <v>7531</v>
      </c>
      <c r="T501" s="5">
        <f>tbl_financials[[#This Row],[Gross_Profit]]-tbl_financials[[#This Row],[Operating_Expenses]]+tbl_financials[[#This Row],[Other_Income]]</f>
        <v>7899.22</v>
      </c>
      <c r="U501" s="11">
        <f>IF(tbl_financials[[#This Row],[Revenue]]=0,0,tbl_financials[[#This Row],[Net_Profit]]/tbl_financials[[#This Row],[Revenue]])</f>
        <v>0.80299720346400438</v>
      </c>
      <c r="V501" s="11" t="str">
        <f>tbl_financials[[#This Row],[Month_Name]] &amp; "_" &amp; tbl_financials[[#This Row],[Year]]</f>
        <v>March_2014</v>
      </c>
      <c r="W501" s="11" t="str">
        <f>tbl_financials[[#This Row],[Month_Name]] &amp; "_" &amp; (tbl_financials[[#This Row],[Year]]-1)</f>
        <v>March_2013</v>
      </c>
      <c r="X50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02" spans="1:24" x14ac:dyDescent="0.3">
      <c r="A502" t="s">
        <v>8</v>
      </c>
      <c r="B502" t="s">
        <v>17</v>
      </c>
      <c r="C502" t="s">
        <v>36</v>
      </c>
      <c r="D502" t="s">
        <v>41</v>
      </c>
      <c r="E502" s="9">
        <v>1005</v>
      </c>
      <c r="F502" s="7">
        <v>250</v>
      </c>
      <c r="G502" s="7">
        <v>12</v>
      </c>
      <c r="H502" s="7">
        <v>12060</v>
      </c>
      <c r="I502" s="5">
        <v>1326.6</v>
      </c>
      <c r="J502" s="5">
        <v>10733.4</v>
      </c>
      <c r="K502" s="7">
        <v>3015</v>
      </c>
      <c r="L502" s="5">
        <v>7718.4</v>
      </c>
      <c r="M502" s="1">
        <v>41518</v>
      </c>
      <c r="N502">
        <v>9</v>
      </c>
      <c r="O502" t="s">
        <v>26</v>
      </c>
      <c r="P502" t="s">
        <v>11</v>
      </c>
      <c r="Q502" s="5">
        <f>tbl_financials[[#This Row],[Net_Sales]]</f>
        <v>10733.4</v>
      </c>
      <c r="R502" s="5">
        <f>ROUND(tbl_financials[[#This Row],[Revenue]]*(0.12+MOD(ROW(),7)/100),2)</f>
        <v>1824.68</v>
      </c>
      <c r="S502" s="7">
        <f t="shared" si="7"/>
        <v>7562</v>
      </c>
      <c r="T502" s="5">
        <f>tbl_financials[[#This Row],[Gross_Profit]]-tbl_financials[[#This Row],[Operating_Expenses]]+tbl_financials[[#This Row],[Other_Income]]</f>
        <v>13455.72</v>
      </c>
      <c r="U502" s="11">
        <f>IF(tbl_financials[[#This Row],[Revenue]]=0,0,tbl_financials[[#This Row],[Net_Profit]]/tbl_financials[[#This Row],[Revenue]])</f>
        <v>1.2536307227905417</v>
      </c>
      <c r="V502" s="11" t="str">
        <f>tbl_financials[[#This Row],[Month_Name]] &amp; "_" &amp; tbl_financials[[#This Row],[Year]]</f>
        <v>September_2013</v>
      </c>
      <c r="W502" s="11" t="str">
        <f>tbl_financials[[#This Row],[Month_Name]] &amp; "_" &amp; (tbl_financials[[#This Row],[Year]]-1)</f>
        <v>September_2012</v>
      </c>
      <c r="X50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03" spans="1:24" x14ac:dyDescent="0.3">
      <c r="A503" t="s">
        <v>5</v>
      </c>
      <c r="B503" t="s">
        <v>14</v>
      </c>
      <c r="C503" t="s">
        <v>37</v>
      </c>
      <c r="D503" t="s">
        <v>41</v>
      </c>
      <c r="E503" s="9">
        <v>3199.5</v>
      </c>
      <c r="F503" s="7">
        <v>260</v>
      </c>
      <c r="G503" s="7">
        <v>15</v>
      </c>
      <c r="H503" s="7">
        <v>47992.5</v>
      </c>
      <c r="I503" s="5">
        <v>5279.1749999999902</v>
      </c>
      <c r="J503" s="5">
        <v>42713.324999999997</v>
      </c>
      <c r="K503" s="7">
        <v>31995</v>
      </c>
      <c r="L503" s="5">
        <v>10718.324999999901</v>
      </c>
      <c r="M503" s="1">
        <v>41821</v>
      </c>
      <c r="N503">
        <v>7</v>
      </c>
      <c r="O503" t="s">
        <v>24</v>
      </c>
      <c r="P503" t="s">
        <v>12</v>
      </c>
      <c r="Q503" s="5">
        <f>tbl_financials[[#This Row],[Net_Sales]]</f>
        <v>42713.324999999997</v>
      </c>
      <c r="R503" s="5">
        <f>ROUND(tbl_financials[[#This Row],[Revenue]]*(0.12+MOD(ROW(),7)/100),2)</f>
        <v>7688.4</v>
      </c>
      <c r="S503" s="7">
        <f t="shared" si="7"/>
        <v>7593</v>
      </c>
      <c r="T503" s="5">
        <f>tbl_financials[[#This Row],[Gross_Profit]]-tbl_financials[[#This Row],[Operating_Expenses]]+tbl_financials[[#This Row],[Other_Income]]</f>
        <v>10622.924999999901</v>
      </c>
      <c r="U503" s="11">
        <f>IF(tbl_financials[[#This Row],[Revenue]]=0,0,tbl_financials[[#This Row],[Net_Profit]]/tbl_financials[[#This Row],[Revenue]])</f>
        <v>0.24870283453699524</v>
      </c>
      <c r="V503" s="11" t="str">
        <f>tbl_financials[[#This Row],[Month_Name]] &amp; "_" &amp; tbl_financials[[#This Row],[Year]]</f>
        <v>July_2014</v>
      </c>
      <c r="W503" s="11" t="str">
        <f>tbl_financials[[#This Row],[Month_Name]] &amp; "_" &amp; (tbl_financials[[#This Row],[Year]]-1)</f>
        <v>July_2013</v>
      </c>
      <c r="X50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04" spans="1:24" x14ac:dyDescent="0.3">
      <c r="A504" t="s">
        <v>8</v>
      </c>
      <c r="B504" t="s">
        <v>16</v>
      </c>
      <c r="C504" t="s">
        <v>37</v>
      </c>
      <c r="D504" t="s">
        <v>41</v>
      </c>
      <c r="E504" s="9">
        <v>472</v>
      </c>
      <c r="F504" s="7">
        <v>260</v>
      </c>
      <c r="G504" s="7">
        <v>12</v>
      </c>
      <c r="H504" s="7">
        <v>5664</v>
      </c>
      <c r="I504" s="5">
        <v>623.04</v>
      </c>
      <c r="J504" s="5">
        <v>5040.96</v>
      </c>
      <c r="K504" s="7">
        <v>1416</v>
      </c>
      <c r="L504" s="5">
        <v>3624.96</v>
      </c>
      <c r="M504" s="1">
        <v>41913</v>
      </c>
      <c r="N504">
        <v>10</v>
      </c>
      <c r="O504" t="s">
        <v>27</v>
      </c>
      <c r="P504" t="s">
        <v>12</v>
      </c>
      <c r="Q504" s="5">
        <f>tbl_financials[[#This Row],[Net_Sales]]</f>
        <v>5040.96</v>
      </c>
      <c r="R504" s="5">
        <f>ROUND(tbl_financials[[#This Row],[Revenue]]*(0.12+MOD(ROW(),7)/100),2)</f>
        <v>604.91999999999996</v>
      </c>
      <c r="S504" s="7">
        <f t="shared" si="7"/>
        <v>7624</v>
      </c>
      <c r="T504" s="5">
        <f>tbl_financials[[#This Row],[Gross_Profit]]-tbl_financials[[#This Row],[Operating_Expenses]]+tbl_financials[[#This Row],[Other_Income]]</f>
        <v>10644.04</v>
      </c>
      <c r="U504" s="11">
        <f>IF(tbl_financials[[#This Row],[Revenue]]=0,0,tbl_financials[[#This Row],[Net_Profit]]/tbl_financials[[#This Row],[Revenue]])</f>
        <v>2.1115105059353776</v>
      </c>
      <c r="V504" s="11" t="str">
        <f>tbl_financials[[#This Row],[Month_Name]] &amp; "_" &amp; tbl_financials[[#This Row],[Year]]</f>
        <v>October_2014</v>
      </c>
      <c r="W504" s="11" t="str">
        <f>tbl_financials[[#This Row],[Month_Name]] &amp; "_" &amp; (tbl_financials[[#This Row],[Year]]-1)</f>
        <v>October_2013</v>
      </c>
      <c r="X50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-0.88310817391304353</v>
      </c>
    </row>
    <row r="505" spans="1:24" x14ac:dyDescent="0.3">
      <c r="A505" t="s">
        <v>8</v>
      </c>
      <c r="B505" t="s">
        <v>13</v>
      </c>
      <c r="C505" t="s">
        <v>32</v>
      </c>
      <c r="D505" t="s">
        <v>41</v>
      </c>
      <c r="E505" s="9">
        <v>1937</v>
      </c>
      <c r="F505" s="7">
        <v>3</v>
      </c>
      <c r="G505" s="7">
        <v>12</v>
      </c>
      <c r="H505" s="7">
        <v>23244</v>
      </c>
      <c r="I505" s="5">
        <v>2556.84</v>
      </c>
      <c r="J505" s="5">
        <v>20687.16</v>
      </c>
      <c r="K505" s="7">
        <v>5811</v>
      </c>
      <c r="L505" s="5">
        <v>14876.16</v>
      </c>
      <c r="M505" s="1">
        <v>41671</v>
      </c>
      <c r="N505">
        <v>2</v>
      </c>
      <c r="O505" t="s">
        <v>19</v>
      </c>
      <c r="P505" t="s">
        <v>12</v>
      </c>
      <c r="Q505" s="5">
        <f>tbl_financials[[#This Row],[Net_Sales]]</f>
        <v>20687.16</v>
      </c>
      <c r="R505" s="5">
        <f>ROUND(tbl_financials[[#This Row],[Revenue]]*(0.12+MOD(ROW(),7)/100),2)</f>
        <v>2689.33</v>
      </c>
      <c r="S505" s="7">
        <f t="shared" si="7"/>
        <v>7655</v>
      </c>
      <c r="T505" s="5">
        <f>tbl_financials[[#This Row],[Gross_Profit]]-tbl_financials[[#This Row],[Operating_Expenses]]+tbl_financials[[#This Row],[Other_Income]]</f>
        <v>19841.830000000002</v>
      </c>
      <c r="U505" s="11">
        <f>IF(tbl_financials[[#This Row],[Revenue]]=0,0,tbl_financials[[#This Row],[Net_Profit]]/tbl_financials[[#This Row],[Revenue]])</f>
        <v>0.95913745531044381</v>
      </c>
      <c r="V505" s="11" t="str">
        <f>tbl_financials[[#This Row],[Month_Name]] &amp; "_" &amp; tbl_financials[[#This Row],[Year]]</f>
        <v>February_2014</v>
      </c>
      <c r="W505" s="11" t="str">
        <f>tbl_financials[[#This Row],[Month_Name]] &amp; "_" &amp; (tbl_financials[[#This Row],[Year]]-1)</f>
        <v>February_2013</v>
      </c>
      <c r="X50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06" spans="1:24" x14ac:dyDescent="0.3">
      <c r="A506" t="s">
        <v>7</v>
      </c>
      <c r="B506" t="s">
        <v>16</v>
      </c>
      <c r="C506" t="s">
        <v>32</v>
      </c>
      <c r="D506" t="s">
        <v>41</v>
      </c>
      <c r="E506" s="9">
        <v>792</v>
      </c>
      <c r="F506" s="7">
        <v>3</v>
      </c>
      <c r="G506" s="7">
        <v>350</v>
      </c>
      <c r="H506" s="7">
        <v>277200</v>
      </c>
      <c r="I506" s="5">
        <v>30492</v>
      </c>
      <c r="J506" s="5">
        <v>246708</v>
      </c>
      <c r="K506" s="7">
        <v>205920</v>
      </c>
      <c r="L506" s="5">
        <v>40788</v>
      </c>
      <c r="M506" s="1">
        <v>41699</v>
      </c>
      <c r="N506">
        <v>3</v>
      </c>
      <c r="O506" t="s">
        <v>20</v>
      </c>
      <c r="P506" t="s">
        <v>12</v>
      </c>
      <c r="Q506" s="5">
        <f>tbl_financials[[#This Row],[Net_Sales]]</f>
        <v>246708</v>
      </c>
      <c r="R506" s="5">
        <f>ROUND(tbl_financials[[#This Row],[Revenue]]*(0.12+MOD(ROW(),7)/100),2)</f>
        <v>34539.120000000003</v>
      </c>
      <c r="S506" s="7">
        <f t="shared" si="7"/>
        <v>7686</v>
      </c>
      <c r="T506" s="5">
        <f>tbl_financials[[#This Row],[Gross_Profit]]-tbl_financials[[#This Row],[Operating_Expenses]]+tbl_financials[[#This Row],[Other_Income]]</f>
        <v>13934.879999999997</v>
      </c>
      <c r="U506" s="11">
        <f>IF(tbl_financials[[#This Row],[Revenue]]=0,0,tbl_financials[[#This Row],[Net_Profit]]/tbl_financials[[#This Row],[Revenue]])</f>
        <v>5.6483291988909959E-2</v>
      </c>
      <c r="V506" s="11" t="str">
        <f>tbl_financials[[#This Row],[Month_Name]] &amp; "_" &amp; tbl_financials[[#This Row],[Year]]</f>
        <v>March_2014</v>
      </c>
      <c r="W506" s="11" t="str">
        <f>tbl_financials[[#This Row],[Month_Name]] &amp; "_" &amp; (tbl_financials[[#This Row],[Year]]-1)</f>
        <v>March_2013</v>
      </c>
      <c r="X50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07" spans="1:24" x14ac:dyDescent="0.3">
      <c r="A507" t="s">
        <v>4</v>
      </c>
      <c r="B507" t="s">
        <v>16</v>
      </c>
      <c r="C507" t="s">
        <v>32</v>
      </c>
      <c r="D507" t="s">
        <v>41</v>
      </c>
      <c r="E507" s="9">
        <v>2811</v>
      </c>
      <c r="F507" s="7">
        <v>3</v>
      </c>
      <c r="G507" s="7">
        <v>300</v>
      </c>
      <c r="H507" s="7">
        <v>843300</v>
      </c>
      <c r="I507" s="5">
        <v>92763</v>
      </c>
      <c r="J507" s="5">
        <v>750537</v>
      </c>
      <c r="K507" s="7">
        <v>702750</v>
      </c>
      <c r="L507" s="5">
        <v>47787</v>
      </c>
      <c r="M507" s="1">
        <v>41821</v>
      </c>
      <c r="N507">
        <v>7</v>
      </c>
      <c r="O507" t="s">
        <v>24</v>
      </c>
      <c r="P507" t="s">
        <v>12</v>
      </c>
      <c r="Q507" s="5">
        <f>tbl_financials[[#This Row],[Net_Sales]]</f>
        <v>750537</v>
      </c>
      <c r="R507" s="5">
        <f>ROUND(tbl_financials[[#This Row],[Revenue]]*(0.12+MOD(ROW(),7)/100),2)</f>
        <v>112580.55</v>
      </c>
      <c r="S507" s="7">
        <f t="shared" si="7"/>
        <v>7717</v>
      </c>
      <c r="T507" s="5">
        <f>tbl_financials[[#This Row],[Gross_Profit]]-tbl_financials[[#This Row],[Operating_Expenses]]+tbl_financials[[#This Row],[Other_Income]]</f>
        <v>-57076.55</v>
      </c>
      <c r="U507" s="11">
        <f>IF(tbl_financials[[#This Row],[Revenue]]=0,0,tbl_financials[[#This Row],[Net_Profit]]/tbl_financials[[#This Row],[Revenue]])</f>
        <v>-7.6047616573200263E-2</v>
      </c>
      <c r="V507" s="11" t="str">
        <f>tbl_financials[[#This Row],[Month_Name]] &amp; "_" &amp; tbl_financials[[#This Row],[Year]]</f>
        <v>July_2014</v>
      </c>
      <c r="W507" s="11" t="str">
        <f>tbl_financials[[#This Row],[Month_Name]] &amp; "_" &amp; (tbl_financials[[#This Row],[Year]]-1)</f>
        <v>July_2013</v>
      </c>
      <c r="X50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08" spans="1:24" x14ac:dyDescent="0.3">
      <c r="A508" t="s">
        <v>6</v>
      </c>
      <c r="B508" t="s">
        <v>15</v>
      </c>
      <c r="C508" t="s">
        <v>32</v>
      </c>
      <c r="D508" t="s">
        <v>41</v>
      </c>
      <c r="E508" s="9">
        <v>2441</v>
      </c>
      <c r="F508" s="7">
        <v>3</v>
      </c>
      <c r="G508" s="7">
        <v>125</v>
      </c>
      <c r="H508" s="7">
        <v>305125</v>
      </c>
      <c r="I508" s="5">
        <v>33563.75</v>
      </c>
      <c r="J508" s="5">
        <v>271561.25</v>
      </c>
      <c r="K508" s="7">
        <v>292920</v>
      </c>
      <c r="L508" s="5">
        <v>-21358.75</v>
      </c>
      <c r="M508" s="1">
        <v>41913</v>
      </c>
      <c r="N508">
        <v>10</v>
      </c>
      <c r="O508" t="s">
        <v>27</v>
      </c>
      <c r="P508" t="s">
        <v>12</v>
      </c>
      <c r="Q508" s="5">
        <f>tbl_financials[[#This Row],[Net_Sales]]</f>
        <v>271561.25</v>
      </c>
      <c r="R508" s="5">
        <f>ROUND(tbl_financials[[#This Row],[Revenue]]*(0.12+MOD(ROW(),7)/100),2)</f>
        <v>43449.8</v>
      </c>
      <c r="S508" s="7">
        <f t="shared" si="7"/>
        <v>7748</v>
      </c>
      <c r="T508" s="5">
        <f>tbl_financials[[#This Row],[Gross_Profit]]-tbl_financials[[#This Row],[Operating_Expenses]]+tbl_financials[[#This Row],[Other_Income]]</f>
        <v>-57060.55</v>
      </c>
      <c r="U508" s="11">
        <f>IF(tbl_financials[[#This Row],[Revenue]]=0,0,tbl_financials[[#This Row],[Net_Profit]]/tbl_financials[[#This Row],[Revenue]])</f>
        <v>-0.21012036879341217</v>
      </c>
      <c r="V508" s="11" t="str">
        <f>tbl_financials[[#This Row],[Month_Name]] &amp; "_" &amp; tbl_financials[[#This Row],[Year]]</f>
        <v>October_2014</v>
      </c>
      <c r="W508" s="11" t="str">
        <f>tbl_financials[[#This Row],[Month_Name]] &amp; "_" &amp; (tbl_financials[[#This Row],[Year]]-1)</f>
        <v>October_2013</v>
      </c>
      <c r="X50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5.2970724637681164</v>
      </c>
    </row>
    <row r="509" spans="1:24" x14ac:dyDescent="0.3">
      <c r="A509" t="s">
        <v>5</v>
      </c>
      <c r="B509" t="s">
        <v>13</v>
      </c>
      <c r="C509" t="s">
        <v>32</v>
      </c>
      <c r="D509" t="s">
        <v>41</v>
      </c>
      <c r="E509" s="9">
        <v>1560</v>
      </c>
      <c r="F509" s="7">
        <v>3</v>
      </c>
      <c r="G509" s="7">
        <v>15</v>
      </c>
      <c r="H509" s="7">
        <v>23400</v>
      </c>
      <c r="I509" s="5">
        <v>2574</v>
      </c>
      <c r="J509" s="5">
        <v>20826</v>
      </c>
      <c r="K509" s="7">
        <v>15600</v>
      </c>
      <c r="L509" s="5">
        <v>5226</v>
      </c>
      <c r="M509" s="1">
        <v>41579</v>
      </c>
      <c r="N509">
        <v>11</v>
      </c>
      <c r="O509" t="s">
        <v>28</v>
      </c>
      <c r="P509" t="s">
        <v>11</v>
      </c>
      <c r="Q509" s="5">
        <f>tbl_financials[[#This Row],[Net_Sales]]</f>
        <v>20826</v>
      </c>
      <c r="R509" s="5">
        <f>ROUND(tbl_financials[[#This Row],[Revenue]]*(0.12+MOD(ROW(),7)/100),2)</f>
        <v>3540.42</v>
      </c>
      <c r="S509" s="7">
        <f t="shared" si="7"/>
        <v>7779</v>
      </c>
      <c r="T509" s="5">
        <f>tbl_financials[[#This Row],[Gross_Profit]]-tbl_financials[[#This Row],[Operating_Expenses]]+tbl_financials[[#This Row],[Other_Income]]</f>
        <v>9464.58</v>
      </c>
      <c r="U509" s="11">
        <f>IF(tbl_financials[[#This Row],[Revenue]]=0,0,tbl_financials[[#This Row],[Net_Profit]]/tbl_financials[[#This Row],[Revenue]])</f>
        <v>0.45445980985306828</v>
      </c>
      <c r="V509" s="11" t="str">
        <f>tbl_financials[[#This Row],[Month_Name]] &amp; "_" &amp; tbl_financials[[#This Row],[Year]]</f>
        <v>November_2013</v>
      </c>
      <c r="W509" s="11" t="str">
        <f>tbl_financials[[#This Row],[Month_Name]] &amp; "_" &amp; (tbl_financials[[#This Row],[Year]]-1)</f>
        <v>November_2012</v>
      </c>
      <c r="X50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10" spans="1:24" x14ac:dyDescent="0.3">
      <c r="A510" t="s">
        <v>7</v>
      </c>
      <c r="B510" t="s">
        <v>17</v>
      </c>
      <c r="C510" t="s">
        <v>32</v>
      </c>
      <c r="D510" t="s">
        <v>41</v>
      </c>
      <c r="E510" s="9">
        <v>2706</v>
      </c>
      <c r="F510" s="7">
        <v>3</v>
      </c>
      <c r="G510" s="7">
        <v>7</v>
      </c>
      <c r="H510" s="7">
        <v>18942</v>
      </c>
      <c r="I510" s="5">
        <v>2083.62</v>
      </c>
      <c r="J510" s="5">
        <v>16858.38</v>
      </c>
      <c r="K510" s="7">
        <v>13530</v>
      </c>
      <c r="L510" s="5">
        <v>3328.38</v>
      </c>
      <c r="M510" s="1">
        <v>41579</v>
      </c>
      <c r="N510">
        <v>11</v>
      </c>
      <c r="O510" t="s">
        <v>28</v>
      </c>
      <c r="P510" t="s">
        <v>11</v>
      </c>
      <c r="Q510" s="5">
        <f>tbl_financials[[#This Row],[Net_Sales]]</f>
        <v>16858.38</v>
      </c>
      <c r="R510" s="5">
        <f>ROUND(tbl_financials[[#This Row],[Revenue]]*(0.12+MOD(ROW(),7)/100),2)</f>
        <v>3034.51</v>
      </c>
      <c r="S510" s="7">
        <f t="shared" si="7"/>
        <v>7810</v>
      </c>
      <c r="T510" s="5">
        <f>tbl_financials[[#This Row],[Gross_Profit]]-tbl_financials[[#This Row],[Operating_Expenses]]+tbl_financials[[#This Row],[Other_Income]]</f>
        <v>8103.87</v>
      </c>
      <c r="U510" s="11">
        <f>IF(tbl_financials[[#This Row],[Revenue]]=0,0,tbl_financials[[#This Row],[Net_Profit]]/tbl_financials[[#This Row],[Revenue]])</f>
        <v>0.48070277215248436</v>
      </c>
      <c r="V510" s="11" t="str">
        <f>tbl_financials[[#This Row],[Month_Name]] &amp; "_" &amp; tbl_financials[[#This Row],[Year]]</f>
        <v>November_2013</v>
      </c>
      <c r="W510" s="11" t="str">
        <f>tbl_financials[[#This Row],[Month_Name]] &amp; "_" &amp; (tbl_financials[[#This Row],[Year]]-1)</f>
        <v>November_2012</v>
      </c>
      <c r="X51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11" spans="1:24" x14ac:dyDescent="0.3">
      <c r="A511" t="s">
        <v>7</v>
      </c>
      <c r="B511" t="s">
        <v>16</v>
      </c>
      <c r="C511" t="s">
        <v>33</v>
      </c>
      <c r="D511" t="s">
        <v>41</v>
      </c>
      <c r="E511" s="9">
        <v>766</v>
      </c>
      <c r="F511" s="7">
        <v>5</v>
      </c>
      <c r="G511" s="7">
        <v>350</v>
      </c>
      <c r="H511" s="7">
        <v>268100</v>
      </c>
      <c r="I511" s="5">
        <v>29491</v>
      </c>
      <c r="J511" s="5">
        <v>238609</v>
      </c>
      <c r="K511" s="7">
        <v>199160</v>
      </c>
      <c r="L511" s="5">
        <v>39449</v>
      </c>
      <c r="M511" s="1">
        <v>41640</v>
      </c>
      <c r="N511">
        <v>1</v>
      </c>
      <c r="O511" t="s">
        <v>18</v>
      </c>
      <c r="P511" t="s">
        <v>12</v>
      </c>
      <c r="Q511" s="5">
        <f>tbl_financials[[#This Row],[Net_Sales]]</f>
        <v>238609</v>
      </c>
      <c r="R511" s="5">
        <f>ROUND(tbl_financials[[#This Row],[Revenue]]*(0.12+MOD(ROW(),7)/100),2)</f>
        <v>28633.08</v>
      </c>
      <c r="S511" s="7">
        <f t="shared" si="7"/>
        <v>7841</v>
      </c>
      <c r="T511" s="5">
        <f>tbl_financials[[#This Row],[Gross_Profit]]-tbl_financials[[#This Row],[Operating_Expenses]]+tbl_financials[[#This Row],[Other_Income]]</f>
        <v>18656.919999999998</v>
      </c>
      <c r="U511" s="11">
        <f>IF(tbl_financials[[#This Row],[Revenue]]=0,0,tbl_financials[[#This Row],[Net_Profit]]/tbl_financials[[#This Row],[Revenue]])</f>
        <v>7.8190344873831238E-2</v>
      </c>
      <c r="V511" s="11" t="str">
        <f>tbl_financials[[#This Row],[Month_Name]] &amp; "_" &amp; tbl_financials[[#This Row],[Year]]</f>
        <v>January_2014</v>
      </c>
      <c r="W511" s="11" t="str">
        <f>tbl_financials[[#This Row],[Month_Name]] &amp; "_" &amp; (tbl_financials[[#This Row],[Year]]-1)</f>
        <v>January_2013</v>
      </c>
      <c r="X51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12" spans="1:24" x14ac:dyDescent="0.3">
      <c r="A512" t="s">
        <v>7</v>
      </c>
      <c r="B512" t="s">
        <v>16</v>
      </c>
      <c r="C512" t="s">
        <v>33</v>
      </c>
      <c r="D512" t="s">
        <v>41</v>
      </c>
      <c r="E512" s="9">
        <v>2992</v>
      </c>
      <c r="F512" s="7">
        <v>5</v>
      </c>
      <c r="G512" s="7">
        <v>20</v>
      </c>
      <c r="H512" s="7">
        <v>59840</v>
      </c>
      <c r="I512" s="5">
        <v>6582.4</v>
      </c>
      <c r="J512" s="5">
        <v>53257.599999999999</v>
      </c>
      <c r="K512" s="7">
        <v>29920</v>
      </c>
      <c r="L512" s="5">
        <v>23337.599999999999</v>
      </c>
      <c r="M512" s="1">
        <v>41548</v>
      </c>
      <c r="N512">
        <v>10</v>
      </c>
      <c r="O512" t="s">
        <v>27</v>
      </c>
      <c r="P512" t="s">
        <v>11</v>
      </c>
      <c r="Q512" s="5">
        <f>tbl_financials[[#This Row],[Net_Sales]]</f>
        <v>53257.599999999999</v>
      </c>
      <c r="R512" s="5">
        <f>ROUND(tbl_financials[[#This Row],[Revenue]]*(0.12+MOD(ROW(),7)/100),2)</f>
        <v>6923.49</v>
      </c>
      <c r="S512" s="7">
        <f t="shared" si="7"/>
        <v>7872</v>
      </c>
      <c r="T512" s="5">
        <f>tbl_financials[[#This Row],[Gross_Profit]]-tbl_financials[[#This Row],[Operating_Expenses]]+tbl_financials[[#This Row],[Other_Income]]</f>
        <v>24286.11</v>
      </c>
      <c r="U512" s="11">
        <f>IF(tbl_financials[[#This Row],[Revenue]]=0,0,tbl_financials[[#This Row],[Net_Profit]]/tbl_financials[[#This Row],[Revenue]])</f>
        <v>0.45601209968154782</v>
      </c>
      <c r="V512" s="11" t="str">
        <f>tbl_financials[[#This Row],[Month_Name]] &amp; "_" &amp; tbl_financials[[#This Row],[Year]]</f>
        <v>October_2013</v>
      </c>
      <c r="W512" s="11" t="str">
        <f>tbl_financials[[#This Row],[Month_Name]] &amp; "_" &amp; (tbl_financials[[#This Row],[Year]]-1)</f>
        <v>October_2012</v>
      </c>
      <c r="X51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13" spans="1:24" x14ac:dyDescent="0.3">
      <c r="A513" t="s">
        <v>5</v>
      </c>
      <c r="B513" t="s">
        <v>17</v>
      </c>
      <c r="C513" t="s">
        <v>33</v>
      </c>
      <c r="D513" t="s">
        <v>41</v>
      </c>
      <c r="E513" s="9">
        <v>2157</v>
      </c>
      <c r="F513" s="7">
        <v>5</v>
      </c>
      <c r="G513" s="7">
        <v>15</v>
      </c>
      <c r="H513" s="7">
        <v>32355</v>
      </c>
      <c r="I513" s="5">
        <v>3559.05</v>
      </c>
      <c r="J513" s="5">
        <v>28795.95</v>
      </c>
      <c r="K513" s="7">
        <v>21570</v>
      </c>
      <c r="L513" s="5">
        <v>7225.95</v>
      </c>
      <c r="M513" s="1">
        <v>41974</v>
      </c>
      <c r="N513">
        <v>12</v>
      </c>
      <c r="O513" t="s">
        <v>29</v>
      </c>
      <c r="P513" t="s">
        <v>12</v>
      </c>
      <c r="Q513" s="5">
        <f>tbl_financials[[#This Row],[Net_Sales]]</f>
        <v>28795.95</v>
      </c>
      <c r="R513" s="5">
        <f>ROUND(tbl_financials[[#This Row],[Revenue]]*(0.12+MOD(ROW(),7)/100),2)</f>
        <v>4031.43</v>
      </c>
      <c r="S513" s="7">
        <f t="shared" si="7"/>
        <v>7903</v>
      </c>
      <c r="T513" s="5">
        <f>tbl_financials[[#This Row],[Gross_Profit]]-tbl_financials[[#This Row],[Operating_Expenses]]+tbl_financials[[#This Row],[Other_Income]]</f>
        <v>11097.52</v>
      </c>
      <c r="U513" s="11">
        <f>IF(tbl_financials[[#This Row],[Revenue]]=0,0,tbl_financials[[#This Row],[Net_Profit]]/tbl_financials[[#This Row],[Revenue]])</f>
        <v>0.38538475028606456</v>
      </c>
      <c r="V513" s="11" t="str">
        <f>tbl_financials[[#This Row],[Month_Name]] &amp; "_" &amp; tbl_financials[[#This Row],[Year]]</f>
        <v>December_2014</v>
      </c>
      <c r="W513" s="11" t="str">
        <f>tbl_financials[[#This Row],[Month_Name]] &amp; "_" &amp; (tbl_financials[[#This Row],[Year]]-1)</f>
        <v>December_2013</v>
      </c>
      <c r="X51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-0.10793215613382898</v>
      </c>
    </row>
    <row r="514" spans="1:24" x14ac:dyDescent="0.3">
      <c r="A514" t="s">
        <v>4</v>
      </c>
      <c r="B514" t="s">
        <v>13</v>
      </c>
      <c r="C514" t="s">
        <v>34</v>
      </c>
      <c r="D514" t="s">
        <v>41</v>
      </c>
      <c r="E514" s="9">
        <v>873</v>
      </c>
      <c r="F514" s="7">
        <v>10</v>
      </c>
      <c r="G514" s="7">
        <v>300</v>
      </c>
      <c r="H514" s="7">
        <v>261900</v>
      </c>
      <c r="I514" s="5">
        <v>28809</v>
      </c>
      <c r="J514" s="5">
        <v>233091</v>
      </c>
      <c r="K514" s="7">
        <v>218250</v>
      </c>
      <c r="L514" s="5">
        <v>14841</v>
      </c>
      <c r="M514" s="1">
        <v>41640</v>
      </c>
      <c r="N514">
        <v>1</v>
      </c>
      <c r="O514" t="s">
        <v>18</v>
      </c>
      <c r="P514" t="s">
        <v>12</v>
      </c>
      <c r="Q514" s="5">
        <f>tbl_financials[[#This Row],[Net_Sales]]</f>
        <v>233091</v>
      </c>
      <c r="R514" s="5">
        <f>ROUND(tbl_financials[[#This Row],[Revenue]]*(0.12+MOD(ROW(),7)/100),2)</f>
        <v>34963.65</v>
      </c>
      <c r="S514" s="7">
        <f t="shared" ref="S514:S577" si="8">ROUND(1000+MOD(ROW()*31,9000),0)</f>
        <v>7934</v>
      </c>
      <c r="T514" s="5">
        <f>tbl_financials[[#This Row],[Gross_Profit]]-tbl_financials[[#This Row],[Operating_Expenses]]+tbl_financials[[#This Row],[Other_Income]]</f>
        <v>-12188.650000000001</v>
      </c>
      <c r="U514" s="11">
        <f>IF(tbl_financials[[#This Row],[Revenue]]=0,0,tbl_financials[[#This Row],[Net_Profit]]/tbl_financials[[#This Row],[Revenue]])</f>
        <v>-5.2291379761552362E-2</v>
      </c>
      <c r="V514" s="11" t="str">
        <f>tbl_financials[[#This Row],[Month_Name]] &amp; "_" &amp; tbl_financials[[#This Row],[Year]]</f>
        <v>January_2014</v>
      </c>
      <c r="W514" s="11" t="str">
        <f>tbl_financials[[#This Row],[Month_Name]] &amp; "_" &amp; (tbl_financials[[#This Row],[Year]]-1)</f>
        <v>January_2013</v>
      </c>
      <c r="X51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15" spans="1:24" x14ac:dyDescent="0.3">
      <c r="A515" t="s">
        <v>7</v>
      </c>
      <c r="B515" t="s">
        <v>17</v>
      </c>
      <c r="C515" t="s">
        <v>34</v>
      </c>
      <c r="D515" t="s">
        <v>41</v>
      </c>
      <c r="E515" s="9">
        <v>1122</v>
      </c>
      <c r="F515" s="7">
        <v>10</v>
      </c>
      <c r="G515" s="7">
        <v>20</v>
      </c>
      <c r="H515" s="7">
        <v>22440</v>
      </c>
      <c r="I515" s="5">
        <v>2468.4</v>
      </c>
      <c r="J515" s="5">
        <v>19971.599999999999</v>
      </c>
      <c r="K515" s="7">
        <v>11220</v>
      </c>
      <c r="L515" s="5">
        <v>8751.5999999999894</v>
      </c>
      <c r="M515" s="1">
        <v>41699</v>
      </c>
      <c r="N515">
        <v>3</v>
      </c>
      <c r="O515" t="s">
        <v>20</v>
      </c>
      <c r="P515" t="s">
        <v>12</v>
      </c>
      <c r="Q515" s="5">
        <f>tbl_financials[[#This Row],[Net_Sales]]</f>
        <v>19971.599999999999</v>
      </c>
      <c r="R515" s="5">
        <f>ROUND(tbl_financials[[#This Row],[Revenue]]*(0.12+MOD(ROW(),7)/100),2)</f>
        <v>3195.46</v>
      </c>
      <c r="S515" s="7">
        <f t="shared" si="8"/>
        <v>7965</v>
      </c>
      <c r="T515" s="5">
        <f>tbl_financials[[#This Row],[Gross_Profit]]-tbl_financials[[#This Row],[Operating_Expenses]]+tbl_financials[[#This Row],[Other_Income]]</f>
        <v>13521.139999999989</v>
      </c>
      <c r="U515" s="11">
        <f>IF(tbl_financials[[#This Row],[Revenue]]=0,0,tbl_financials[[#This Row],[Net_Profit]]/tbl_financials[[#This Row],[Revenue]])</f>
        <v>0.67701836607983279</v>
      </c>
      <c r="V515" s="11" t="str">
        <f>tbl_financials[[#This Row],[Month_Name]] &amp; "_" &amp; tbl_financials[[#This Row],[Year]]</f>
        <v>March_2014</v>
      </c>
      <c r="W515" s="11" t="str">
        <f>tbl_financials[[#This Row],[Month_Name]] &amp; "_" &amp; (tbl_financials[[#This Row],[Year]]-1)</f>
        <v>March_2013</v>
      </c>
      <c r="X51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16" spans="1:24" x14ac:dyDescent="0.3">
      <c r="A516" t="s">
        <v>7</v>
      </c>
      <c r="B516" t="s">
        <v>13</v>
      </c>
      <c r="C516" t="s">
        <v>34</v>
      </c>
      <c r="D516" t="s">
        <v>41</v>
      </c>
      <c r="E516" s="9">
        <v>2104.5</v>
      </c>
      <c r="F516" s="7">
        <v>10</v>
      </c>
      <c r="G516" s="7">
        <v>350</v>
      </c>
      <c r="H516" s="7">
        <v>736575</v>
      </c>
      <c r="I516" s="5">
        <v>81023.25</v>
      </c>
      <c r="J516" s="5">
        <v>655551.75</v>
      </c>
      <c r="K516" s="7">
        <v>547170</v>
      </c>
      <c r="L516" s="5">
        <v>108381.75</v>
      </c>
      <c r="M516" s="1">
        <v>41821</v>
      </c>
      <c r="N516">
        <v>7</v>
      </c>
      <c r="O516" t="s">
        <v>24</v>
      </c>
      <c r="P516" t="s">
        <v>12</v>
      </c>
      <c r="Q516" s="5">
        <f>tbl_financials[[#This Row],[Net_Sales]]</f>
        <v>655551.75</v>
      </c>
      <c r="R516" s="5">
        <f>ROUND(tbl_financials[[#This Row],[Revenue]]*(0.12+MOD(ROW(),7)/100),2)</f>
        <v>111443.8</v>
      </c>
      <c r="S516" s="7">
        <f t="shared" si="8"/>
        <v>7996</v>
      </c>
      <c r="T516" s="5">
        <f>tbl_financials[[#This Row],[Gross_Profit]]-tbl_financials[[#This Row],[Operating_Expenses]]+tbl_financials[[#This Row],[Other_Income]]</f>
        <v>4933.9499999999971</v>
      </c>
      <c r="U516" s="11">
        <f>IF(tbl_financials[[#This Row],[Revenue]]=0,0,tbl_financials[[#This Row],[Net_Profit]]/tbl_financials[[#This Row],[Revenue]])</f>
        <v>7.5264080982164975E-3</v>
      </c>
      <c r="V516" s="11" t="str">
        <f>tbl_financials[[#This Row],[Month_Name]] &amp; "_" &amp; tbl_financials[[#This Row],[Year]]</f>
        <v>July_2014</v>
      </c>
      <c r="W516" s="11" t="str">
        <f>tbl_financials[[#This Row],[Month_Name]] &amp; "_" &amp; (tbl_financials[[#This Row],[Year]]-1)</f>
        <v>July_2013</v>
      </c>
      <c r="X51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17" spans="1:24" x14ac:dyDescent="0.3">
      <c r="A517" t="s">
        <v>8</v>
      </c>
      <c r="B517" t="s">
        <v>13</v>
      </c>
      <c r="C517" t="s">
        <v>34</v>
      </c>
      <c r="D517" t="s">
        <v>41</v>
      </c>
      <c r="E517" s="9">
        <v>4026</v>
      </c>
      <c r="F517" s="7">
        <v>10</v>
      </c>
      <c r="G517" s="7">
        <v>12</v>
      </c>
      <c r="H517" s="7">
        <v>48312</v>
      </c>
      <c r="I517" s="5">
        <v>5314.32</v>
      </c>
      <c r="J517" s="5">
        <v>42997.68</v>
      </c>
      <c r="K517" s="7">
        <v>12078</v>
      </c>
      <c r="L517" s="5">
        <v>30919.68</v>
      </c>
      <c r="M517" s="1">
        <v>41821</v>
      </c>
      <c r="N517">
        <v>7</v>
      </c>
      <c r="O517" t="s">
        <v>24</v>
      </c>
      <c r="P517" t="s">
        <v>12</v>
      </c>
      <c r="Q517" s="5">
        <f>tbl_financials[[#This Row],[Net_Sales]]</f>
        <v>42997.68</v>
      </c>
      <c r="R517" s="5">
        <f>ROUND(tbl_financials[[#This Row],[Revenue]]*(0.12+MOD(ROW(),7)/100),2)</f>
        <v>7739.58</v>
      </c>
      <c r="S517" s="7">
        <f t="shared" si="8"/>
        <v>8027</v>
      </c>
      <c r="T517" s="5">
        <f>tbl_financials[[#This Row],[Gross_Profit]]-tbl_financials[[#This Row],[Operating_Expenses]]+tbl_financials[[#This Row],[Other_Income]]</f>
        <v>31207.1</v>
      </c>
      <c r="U517" s="11">
        <f>IF(tbl_financials[[#This Row],[Revenue]]=0,0,tbl_financials[[#This Row],[Net_Profit]]/tbl_financials[[#This Row],[Revenue]])</f>
        <v>0.72578567029662988</v>
      </c>
      <c r="V517" s="11" t="str">
        <f>tbl_financials[[#This Row],[Month_Name]] &amp; "_" &amp; tbl_financials[[#This Row],[Year]]</f>
        <v>July_2014</v>
      </c>
      <c r="W517" s="11" t="str">
        <f>tbl_financials[[#This Row],[Month_Name]] &amp; "_" &amp; (tbl_financials[[#This Row],[Year]]-1)</f>
        <v>July_2013</v>
      </c>
      <c r="X51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18" spans="1:24" x14ac:dyDescent="0.3">
      <c r="A518" t="s">
        <v>8</v>
      </c>
      <c r="B518" t="s">
        <v>15</v>
      </c>
      <c r="C518" t="s">
        <v>34</v>
      </c>
      <c r="D518" t="s">
        <v>41</v>
      </c>
      <c r="E518" s="9">
        <v>2425.5</v>
      </c>
      <c r="F518" s="7">
        <v>10</v>
      </c>
      <c r="G518" s="7">
        <v>12</v>
      </c>
      <c r="H518" s="7">
        <v>29106</v>
      </c>
      <c r="I518" s="5">
        <v>3201.66</v>
      </c>
      <c r="J518" s="5">
        <v>25904.34</v>
      </c>
      <c r="K518" s="7">
        <v>7276.5</v>
      </c>
      <c r="L518" s="5">
        <v>18627.84</v>
      </c>
      <c r="M518" s="1">
        <v>41821</v>
      </c>
      <c r="N518">
        <v>7</v>
      </c>
      <c r="O518" t="s">
        <v>24</v>
      </c>
      <c r="P518" t="s">
        <v>12</v>
      </c>
      <c r="Q518" s="5">
        <f>tbl_financials[[#This Row],[Net_Sales]]</f>
        <v>25904.34</v>
      </c>
      <c r="R518" s="5">
        <f>ROUND(tbl_financials[[#This Row],[Revenue]]*(0.12+MOD(ROW(),7)/100),2)</f>
        <v>3108.52</v>
      </c>
      <c r="S518" s="7">
        <f t="shared" si="8"/>
        <v>8058</v>
      </c>
      <c r="T518" s="5">
        <f>tbl_financials[[#This Row],[Gross_Profit]]-tbl_financials[[#This Row],[Operating_Expenses]]+tbl_financials[[#This Row],[Other_Income]]</f>
        <v>23577.32</v>
      </c>
      <c r="U518" s="11">
        <f>IF(tbl_financials[[#This Row],[Revenue]]=0,0,tbl_financials[[#This Row],[Net_Profit]]/tbl_financials[[#This Row],[Revenue]])</f>
        <v>0.91016872076262123</v>
      </c>
      <c r="V518" s="11" t="str">
        <f>tbl_financials[[#This Row],[Month_Name]] &amp; "_" &amp; tbl_financials[[#This Row],[Year]]</f>
        <v>July_2014</v>
      </c>
      <c r="W518" s="11" t="str">
        <f>tbl_financials[[#This Row],[Month_Name]] &amp; "_" &amp; (tbl_financials[[#This Row],[Year]]-1)</f>
        <v>July_2013</v>
      </c>
      <c r="X51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19" spans="1:24" x14ac:dyDescent="0.3">
      <c r="A519" t="s">
        <v>7</v>
      </c>
      <c r="B519" t="s">
        <v>13</v>
      </c>
      <c r="C519" t="s">
        <v>34</v>
      </c>
      <c r="D519" t="s">
        <v>41</v>
      </c>
      <c r="E519" s="9">
        <v>2394</v>
      </c>
      <c r="F519" s="7">
        <v>10</v>
      </c>
      <c r="G519" s="7">
        <v>20</v>
      </c>
      <c r="H519" s="7">
        <v>47880</v>
      </c>
      <c r="I519" s="5">
        <v>5266.8</v>
      </c>
      <c r="J519" s="5">
        <v>42613.2</v>
      </c>
      <c r="K519" s="7">
        <v>23940</v>
      </c>
      <c r="L519" s="5">
        <v>18673.199999999899</v>
      </c>
      <c r="M519" s="1">
        <v>41852</v>
      </c>
      <c r="N519">
        <v>8</v>
      </c>
      <c r="O519" t="s">
        <v>25</v>
      </c>
      <c r="P519" t="s">
        <v>12</v>
      </c>
      <c r="Q519" s="5">
        <f>tbl_financials[[#This Row],[Net_Sales]]</f>
        <v>42613.2</v>
      </c>
      <c r="R519" s="5">
        <f>ROUND(tbl_financials[[#This Row],[Revenue]]*(0.12+MOD(ROW(),7)/100),2)</f>
        <v>5539.72</v>
      </c>
      <c r="S519" s="7">
        <f t="shared" si="8"/>
        <v>8089</v>
      </c>
      <c r="T519" s="5">
        <f>tbl_financials[[#This Row],[Gross_Profit]]-tbl_financials[[#This Row],[Operating_Expenses]]+tbl_financials[[#This Row],[Other_Income]]</f>
        <v>21222.479999999898</v>
      </c>
      <c r="U519" s="11">
        <f>IF(tbl_financials[[#This Row],[Revenue]]=0,0,tbl_financials[[#This Row],[Net_Profit]]/tbl_financials[[#This Row],[Revenue]])</f>
        <v>0.49802596378586678</v>
      </c>
      <c r="V519" s="11" t="str">
        <f>tbl_financials[[#This Row],[Month_Name]] &amp; "_" &amp; tbl_financials[[#This Row],[Year]]</f>
        <v>August_2014</v>
      </c>
      <c r="W519" s="11" t="str">
        <f>tbl_financials[[#This Row],[Month_Name]] &amp; "_" &amp; (tbl_financials[[#This Row],[Year]]-1)</f>
        <v>August_2013</v>
      </c>
      <c r="X51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20" spans="1:24" x14ac:dyDescent="0.3">
      <c r="A520" t="s">
        <v>5</v>
      </c>
      <c r="B520" t="s">
        <v>17</v>
      </c>
      <c r="C520" t="s">
        <v>34</v>
      </c>
      <c r="D520" t="s">
        <v>41</v>
      </c>
      <c r="E520" s="9">
        <v>1984</v>
      </c>
      <c r="F520" s="7">
        <v>10</v>
      </c>
      <c r="G520" s="7">
        <v>15</v>
      </c>
      <c r="H520" s="7">
        <v>29760</v>
      </c>
      <c r="I520" s="5">
        <v>3273.6</v>
      </c>
      <c r="J520" s="5">
        <v>26486.400000000001</v>
      </c>
      <c r="K520" s="7">
        <v>19840</v>
      </c>
      <c r="L520" s="5">
        <v>6646.4</v>
      </c>
      <c r="M520" s="1">
        <v>41852</v>
      </c>
      <c r="N520">
        <v>8</v>
      </c>
      <c r="O520" t="s">
        <v>25</v>
      </c>
      <c r="P520" t="s">
        <v>12</v>
      </c>
      <c r="Q520" s="5">
        <f>tbl_financials[[#This Row],[Net_Sales]]</f>
        <v>26486.400000000001</v>
      </c>
      <c r="R520" s="5">
        <f>ROUND(tbl_financials[[#This Row],[Revenue]]*(0.12+MOD(ROW(),7)/100),2)</f>
        <v>3708.1</v>
      </c>
      <c r="S520" s="7">
        <f t="shared" si="8"/>
        <v>8120</v>
      </c>
      <c r="T520" s="5">
        <f>tbl_financials[[#This Row],[Gross_Profit]]-tbl_financials[[#This Row],[Operating_Expenses]]+tbl_financials[[#This Row],[Other_Income]]</f>
        <v>11058.3</v>
      </c>
      <c r="U520" s="11">
        <f>IF(tbl_financials[[#This Row],[Revenue]]=0,0,tbl_financials[[#This Row],[Net_Profit]]/tbl_financials[[#This Row],[Revenue]])</f>
        <v>0.41750860819137364</v>
      </c>
      <c r="V520" s="11" t="str">
        <f>tbl_financials[[#This Row],[Month_Name]] &amp; "_" &amp; tbl_financials[[#This Row],[Year]]</f>
        <v>August_2014</v>
      </c>
      <c r="W520" s="11" t="str">
        <f>tbl_financials[[#This Row],[Month_Name]] &amp; "_" &amp; (tbl_financials[[#This Row],[Year]]-1)</f>
        <v>August_2013</v>
      </c>
      <c r="X52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21" spans="1:24" x14ac:dyDescent="0.3">
      <c r="A521" t="s">
        <v>6</v>
      </c>
      <c r="B521" t="s">
        <v>15</v>
      </c>
      <c r="C521" t="s">
        <v>34</v>
      </c>
      <c r="D521" t="s">
        <v>41</v>
      </c>
      <c r="E521" s="9">
        <v>2441</v>
      </c>
      <c r="F521" s="7">
        <v>10</v>
      </c>
      <c r="G521" s="7">
        <v>125</v>
      </c>
      <c r="H521" s="7">
        <v>305125</v>
      </c>
      <c r="I521" s="5">
        <v>33563.75</v>
      </c>
      <c r="J521" s="5">
        <v>271561.25</v>
      </c>
      <c r="K521" s="7">
        <v>292920</v>
      </c>
      <c r="L521" s="5">
        <v>-21358.75</v>
      </c>
      <c r="M521" s="1">
        <v>41913</v>
      </c>
      <c r="N521">
        <v>10</v>
      </c>
      <c r="O521" t="s">
        <v>27</v>
      </c>
      <c r="P521" t="s">
        <v>12</v>
      </c>
      <c r="Q521" s="5">
        <f>tbl_financials[[#This Row],[Net_Sales]]</f>
        <v>271561.25</v>
      </c>
      <c r="R521" s="5">
        <f>ROUND(tbl_financials[[#This Row],[Revenue]]*(0.12+MOD(ROW(),7)/100),2)</f>
        <v>40734.19</v>
      </c>
      <c r="S521" s="7">
        <f t="shared" si="8"/>
        <v>8151</v>
      </c>
      <c r="T521" s="5">
        <f>tbl_financials[[#This Row],[Gross_Profit]]-tbl_financials[[#This Row],[Operating_Expenses]]+tbl_financials[[#This Row],[Other_Income]]</f>
        <v>-53941.94</v>
      </c>
      <c r="U521" s="11">
        <f>IF(tbl_financials[[#This Row],[Revenue]]=0,0,tbl_financials[[#This Row],[Net_Profit]]/tbl_financials[[#This Row],[Revenue]])</f>
        <v>-0.19863636656555381</v>
      </c>
      <c r="V521" s="11" t="str">
        <f>tbl_financials[[#This Row],[Month_Name]] &amp; "_" &amp; tbl_financials[[#This Row],[Year]]</f>
        <v>October_2014</v>
      </c>
      <c r="W521" s="11" t="str">
        <f>tbl_financials[[#This Row],[Month_Name]] &amp; "_" &amp; (tbl_financials[[#This Row],[Year]]-1)</f>
        <v>October_2013</v>
      </c>
      <c r="X52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5.2970724637681164</v>
      </c>
    </row>
    <row r="522" spans="1:24" x14ac:dyDescent="0.3">
      <c r="A522" t="s">
        <v>7</v>
      </c>
      <c r="B522" t="s">
        <v>16</v>
      </c>
      <c r="C522" t="s">
        <v>34</v>
      </c>
      <c r="D522" t="s">
        <v>41</v>
      </c>
      <c r="E522" s="9">
        <v>2992</v>
      </c>
      <c r="F522" s="7">
        <v>10</v>
      </c>
      <c r="G522" s="7">
        <v>20</v>
      </c>
      <c r="H522" s="7">
        <v>59840</v>
      </c>
      <c r="I522" s="5">
        <v>6582.4</v>
      </c>
      <c r="J522" s="5">
        <v>53257.599999999999</v>
      </c>
      <c r="K522" s="7">
        <v>29920</v>
      </c>
      <c r="L522" s="5">
        <v>23337.599999999999</v>
      </c>
      <c r="M522" s="1">
        <v>41548</v>
      </c>
      <c r="N522">
        <v>10</v>
      </c>
      <c r="O522" t="s">
        <v>27</v>
      </c>
      <c r="P522" t="s">
        <v>11</v>
      </c>
      <c r="Q522" s="5">
        <f>tbl_financials[[#This Row],[Net_Sales]]</f>
        <v>53257.599999999999</v>
      </c>
      <c r="R522" s="5">
        <f>ROUND(tbl_financials[[#This Row],[Revenue]]*(0.12+MOD(ROW(),7)/100),2)</f>
        <v>8521.2199999999993</v>
      </c>
      <c r="S522" s="7">
        <f t="shared" si="8"/>
        <v>8182</v>
      </c>
      <c r="T522" s="5">
        <f>tbl_financials[[#This Row],[Gross_Profit]]-tbl_financials[[#This Row],[Operating_Expenses]]+tbl_financials[[#This Row],[Other_Income]]</f>
        <v>22998.379999999997</v>
      </c>
      <c r="U522" s="11">
        <f>IF(tbl_financials[[#This Row],[Revenue]]=0,0,tbl_financials[[#This Row],[Net_Profit]]/tbl_financials[[#This Row],[Revenue]])</f>
        <v>0.43183282761521358</v>
      </c>
      <c r="V522" s="11" t="str">
        <f>tbl_financials[[#This Row],[Month_Name]] &amp; "_" &amp; tbl_financials[[#This Row],[Year]]</f>
        <v>October_2013</v>
      </c>
      <c r="W522" s="11" t="str">
        <f>tbl_financials[[#This Row],[Month_Name]] &amp; "_" &amp; (tbl_financials[[#This Row],[Year]]-1)</f>
        <v>October_2012</v>
      </c>
      <c r="X52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23" spans="1:24" x14ac:dyDescent="0.3">
      <c r="A523" t="s">
        <v>4</v>
      </c>
      <c r="B523" t="s">
        <v>13</v>
      </c>
      <c r="C523" t="s">
        <v>34</v>
      </c>
      <c r="D523" t="s">
        <v>41</v>
      </c>
      <c r="E523" s="9">
        <v>1366</v>
      </c>
      <c r="F523" s="7">
        <v>10</v>
      </c>
      <c r="G523" s="7">
        <v>300</v>
      </c>
      <c r="H523" s="7">
        <v>409800</v>
      </c>
      <c r="I523" s="5">
        <v>45078</v>
      </c>
      <c r="J523" s="5">
        <v>364722</v>
      </c>
      <c r="K523" s="7">
        <v>341500</v>
      </c>
      <c r="L523" s="5">
        <v>23222</v>
      </c>
      <c r="M523" s="1">
        <v>41944</v>
      </c>
      <c r="N523">
        <v>11</v>
      </c>
      <c r="O523" t="s">
        <v>28</v>
      </c>
      <c r="P523" t="s">
        <v>12</v>
      </c>
      <c r="Q523" s="5">
        <f>tbl_financials[[#This Row],[Net_Sales]]</f>
        <v>364722</v>
      </c>
      <c r="R523" s="5">
        <f>ROUND(tbl_financials[[#This Row],[Revenue]]*(0.12+MOD(ROW(),7)/100),2)</f>
        <v>62002.74</v>
      </c>
      <c r="S523" s="7">
        <f t="shared" si="8"/>
        <v>8213</v>
      </c>
      <c r="T523" s="5">
        <f>tbl_financials[[#This Row],[Gross_Profit]]-tbl_financials[[#This Row],[Operating_Expenses]]+tbl_financials[[#This Row],[Other_Income]]</f>
        <v>-30567.739999999998</v>
      </c>
      <c r="U523" s="11">
        <f>IF(tbl_financials[[#This Row],[Revenue]]=0,0,tbl_financials[[#This Row],[Net_Profit]]/tbl_financials[[#This Row],[Revenue]])</f>
        <v>-8.3811067059294475E-2</v>
      </c>
      <c r="V523" s="11" t="str">
        <f>tbl_financials[[#This Row],[Month_Name]] &amp; "_" &amp; tbl_financials[[#This Row],[Year]]</f>
        <v>November_2014</v>
      </c>
      <c r="W523" s="11" t="str">
        <f>tbl_financials[[#This Row],[Month_Name]] &amp; "_" &amp; (tbl_financials[[#This Row],[Year]]-1)</f>
        <v>November_2013</v>
      </c>
      <c r="X52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-0.39590559006211179</v>
      </c>
    </row>
    <row r="524" spans="1:24" x14ac:dyDescent="0.3">
      <c r="A524" t="s">
        <v>7</v>
      </c>
      <c r="B524" t="s">
        <v>15</v>
      </c>
      <c r="C524" t="s">
        <v>35</v>
      </c>
      <c r="D524" t="s">
        <v>41</v>
      </c>
      <c r="E524" s="9">
        <v>2805</v>
      </c>
      <c r="F524" s="7">
        <v>120</v>
      </c>
      <c r="G524" s="7">
        <v>20</v>
      </c>
      <c r="H524" s="7">
        <v>56100</v>
      </c>
      <c r="I524" s="5">
        <v>6171</v>
      </c>
      <c r="J524" s="5">
        <v>49929</v>
      </c>
      <c r="K524" s="7">
        <v>28050</v>
      </c>
      <c r="L524" s="5">
        <v>21879</v>
      </c>
      <c r="M524" s="1">
        <v>41518</v>
      </c>
      <c r="N524">
        <v>9</v>
      </c>
      <c r="O524" t="s">
        <v>26</v>
      </c>
      <c r="P524" t="s">
        <v>11</v>
      </c>
      <c r="Q524" s="5">
        <f>tbl_financials[[#This Row],[Net_Sales]]</f>
        <v>49929</v>
      </c>
      <c r="R524" s="5">
        <f>ROUND(tbl_financials[[#This Row],[Revenue]]*(0.12+MOD(ROW(),7)/100),2)</f>
        <v>8987.2199999999993</v>
      </c>
      <c r="S524" s="7">
        <f t="shared" si="8"/>
        <v>8244</v>
      </c>
      <c r="T524" s="5">
        <f>tbl_financials[[#This Row],[Gross_Profit]]-tbl_financials[[#This Row],[Operating_Expenses]]+tbl_financials[[#This Row],[Other_Income]]</f>
        <v>21135.78</v>
      </c>
      <c r="U524" s="11">
        <f>IF(tbl_financials[[#This Row],[Revenue]]=0,0,tbl_financials[[#This Row],[Net_Profit]]/tbl_financials[[#This Row],[Revenue]])</f>
        <v>0.42331670972781349</v>
      </c>
      <c r="V524" s="11" t="str">
        <f>tbl_financials[[#This Row],[Month_Name]] &amp; "_" &amp; tbl_financials[[#This Row],[Year]]</f>
        <v>September_2013</v>
      </c>
      <c r="W524" s="11" t="str">
        <f>tbl_financials[[#This Row],[Month_Name]] &amp; "_" &amp; (tbl_financials[[#This Row],[Year]]-1)</f>
        <v>September_2012</v>
      </c>
      <c r="X52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25" spans="1:24" x14ac:dyDescent="0.3">
      <c r="A525" t="s">
        <v>5</v>
      </c>
      <c r="B525" t="s">
        <v>17</v>
      </c>
      <c r="C525" t="s">
        <v>35</v>
      </c>
      <c r="D525" t="s">
        <v>41</v>
      </c>
      <c r="E525" s="9">
        <v>655</v>
      </c>
      <c r="F525" s="7">
        <v>120</v>
      </c>
      <c r="G525" s="7">
        <v>15</v>
      </c>
      <c r="H525" s="7">
        <v>9825</v>
      </c>
      <c r="I525" s="5">
        <v>1080.75</v>
      </c>
      <c r="J525" s="5">
        <v>8744.25</v>
      </c>
      <c r="K525" s="7">
        <v>6550</v>
      </c>
      <c r="L525" s="5">
        <v>2194.25</v>
      </c>
      <c r="M525" s="1">
        <v>41518</v>
      </c>
      <c r="N525">
        <v>9</v>
      </c>
      <c r="O525" t="s">
        <v>26</v>
      </c>
      <c r="P525" t="s">
        <v>11</v>
      </c>
      <c r="Q525" s="5">
        <f>tbl_financials[[#This Row],[Net_Sales]]</f>
        <v>8744.25</v>
      </c>
      <c r="R525" s="5">
        <f>ROUND(tbl_financials[[#This Row],[Revenue]]*(0.12+MOD(ROW(),7)/100),2)</f>
        <v>1049.31</v>
      </c>
      <c r="S525" s="7">
        <f t="shared" si="8"/>
        <v>8275</v>
      </c>
      <c r="T525" s="5">
        <f>tbl_financials[[#This Row],[Gross_Profit]]-tbl_financials[[#This Row],[Operating_Expenses]]+tbl_financials[[#This Row],[Other_Income]]</f>
        <v>9419.94</v>
      </c>
      <c r="U525" s="11">
        <f>IF(tbl_financials[[#This Row],[Revenue]]=0,0,tbl_financials[[#This Row],[Net_Profit]]/tbl_financials[[#This Row],[Revenue]])</f>
        <v>1.0772724933527746</v>
      </c>
      <c r="V525" s="11" t="str">
        <f>tbl_financials[[#This Row],[Month_Name]] &amp; "_" &amp; tbl_financials[[#This Row],[Year]]</f>
        <v>September_2013</v>
      </c>
      <c r="W525" s="11" t="str">
        <f>tbl_financials[[#This Row],[Month_Name]] &amp; "_" &amp; (tbl_financials[[#This Row],[Year]]-1)</f>
        <v>September_2012</v>
      </c>
      <c r="X52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26" spans="1:24" x14ac:dyDescent="0.3">
      <c r="A526" t="s">
        <v>7</v>
      </c>
      <c r="B526" t="s">
        <v>17</v>
      </c>
      <c r="C526" t="s">
        <v>35</v>
      </c>
      <c r="D526" t="s">
        <v>41</v>
      </c>
      <c r="E526" s="9">
        <v>344</v>
      </c>
      <c r="F526" s="7">
        <v>120</v>
      </c>
      <c r="G526" s="7">
        <v>350</v>
      </c>
      <c r="H526" s="7">
        <v>120400</v>
      </c>
      <c r="I526" s="5">
        <v>13244</v>
      </c>
      <c r="J526" s="5">
        <v>107156</v>
      </c>
      <c r="K526" s="7">
        <v>89440</v>
      </c>
      <c r="L526" s="5">
        <v>17716</v>
      </c>
      <c r="M526" s="1">
        <v>41548</v>
      </c>
      <c r="N526">
        <v>10</v>
      </c>
      <c r="O526" t="s">
        <v>27</v>
      </c>
      <c r="P526" t="s">
        <v>11</v>
      </c>
      <c r="Q526" s="5">
        <f>tbl_financials[[#This Row],[Net_Sales]]</f>
        <v>107156</v>
      </c>
      <c r="R526" s="5">
        <f>ROUND(tbl_financials[[#This Row],[Revenue]]*(0.12+MOD(ROW(),7)/100),2)</f>
        <v>13930.28</v>
      </c>
      <c r="S526" s="7">
        <f t="shared" si="8"/>
        <v>8306</v>
      </c>
      <c r="T526" s="5">
        <f>tbl_financials[[#This Row],[Gross_Profit]]-tbl_financials[[#This Row],[Operating_Expenses]]+tbl_financials[[#This Row],[Other_Income]]</f>
        <v>12091.72</v>
      </c>
      <c r="U526" s="11">
        <f>IF(tbl_financials[[#This Row],[Revenue]]=0,0,tbl_financials[[#This Row],[Net_Profit]]/tbl_financials[[#This Row],[Revenue]])</f>
        <v>0.11284221135540706</v>
      </c>
      <c r="V526" s="11" t="str">
        <f>tbl_financials[[#This Row],[Month_Name]] &amp; "_" &amp; tbl_financials[[#This Row],[Year]]</f>
        <v>October_2013</v>
      </c>
      <c r="W526" s="11" t="str">
        <f>tbl_financials[[#This Row],[Month_Name]] &amp; "_" &amp; (tbl_financials[[#This Row],[Year]]-1)</f>
        <v>October_2012</v>
      </c>
      <c r="X52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27" spans="1:24" x14ac:dyDescent="0.3">
      <c r="A527" t="s">
        <v>7</v>
      </c>
      <c r="B527" t="s">
        <v>13</v>
      </c>
      <c r="C527" t="s">
        <v>35</v>
      </c>
      <c r="D527" t="s">
        <v>41</v>
      </c>
      <c r="E527" s="9">
        <v>1808</v>
      </c>
      <c r="F527" s="7">
        <v>120</v>
      </c>
      <c r="G527" s="7">
        <v>7</v>
      </c>
      <c r="H527" s="7">
        <v>12656</v>
      </c>
      <c r="I527" s="5">
        <v>1392.16</v>
      </c>
      <c r="J527" s="5">
        <v>11263.84</v>
      </c>
      <c r="K527" s="7">
        <v>9040</v>
      </c>
      <c r="L527" s="5">
        <v>2223.84</v>
      </c>
      <c r="M527" s="1">
        <v>41944</v>
      </c>
      <c r="N527">
        <v>11</v>
      </c>
      <c r="O527" t="s">
        <v>28</v>
      </c>
      <c r="P527" t="s">
        <v>12</v>
      </c>
      <c r="Q527" s="5">
        <f>tbl_financials[[#This Row],[Net_Sales]]</f>
        <v>11263.84</v>
      </c>
      <c r="R527" s="5">
        <f>ROUND(tbl_financials[[#This Row],[Revenue]]*(0.12+MOD(ROW(),7)/100),2)</f>
        <v>1576.94</v>
      </c>
      <c r="S527" s="7">
        <f t="shared" si="8"/>
        <v>8337</v>
      </c>
      <c r="T527" s="5">
        <f>tbl_financials[[#This Row],[Gross_Profit]]-tbl_financials[[#This Row],[Operating_Expenses]]+tbl_financials[[#This Row],[Other_Income]]</f>
        <v>8983.9</v>
      </c>
      <c r="U527" s="11">
        <f>IF(tbl_financials[[#This Row],[Revenue]]=0,0,tbl_financials[[#This Row],[Net_Profit]]/tbl_financials[[#This Row],[Revenue]])</f>
        <v>0.79758767880225567</v>
      </c>
      <c r="V527" s="11" t="str">
        <f>tbl_financials[[#This Row],[Month_Name]] &amp; "_" &amp; tbl_financials[[#This Row],[Year]]</f>
        <v>November_2014</v>
      </c>
      <c r="W527" s="11" t="str">
        <f>tbl_financials[[#This Row],[Month_Name]] &amp; "_" &amp; (tbl_financials[[#This Row],[Year]]-1)</f>
        <v>November_2013</v>
      </c>
      <c r="X52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-0.98134353623188408</v>
      </c>
    </row>
    <row r="528" spans="1:24" x14ac:dyDescent="0.3">
      <c r="A528" t="s">
        <v>8</v>
      </c>
      <c r="B528" t="s">
        <v>15</v>
      </c>
      <c r="C528" t="s">
        <v>36</v>
      </c>
      <c r="D528" t="s">
        <v>41</v>
      </c>
      <c r="E528" s="9">
        <v>1734</v>
      </c>
      <c r="F528" s="7">
        <v>250</v>
      </c>
      <c r="G528" s="7">
        <v>12</v>
      </c>
      <c r="H528" s="7">
        <v>20808</v>
      </c>
      <c r="I528" s="5">
        <v>2288.88</v>
      </c>
      <c r="J528" s="5">
        <v>18519.12</v>
      </c>
      <c r="K528" s="7">
        <v>5202</v>
      </c>
      <c r="L528" s="5">
        <v>13317.119999999901</v>
      </c>
      <c r="M528" s="1">
        <v>41640</v>
      </c>
      <c r="N528">
        <v>1</v>
      </c>
      <c r="O528" t="s">
        <v>18</v>
      </c>
      <c r="P528" t="s">
        <v>12</v>
      </c>
      <c r="Q528" s="5">
        <f>tbl_financials[[#This Row],[Net_Sales]]</f>
        <v>18519.12</v>
      </c>
      <c r="R528" s="5">
        <f>ROUND(tbl_financials[[#This Row],[Revenue]]*(0.12+MOD(ROW(),7)/100),2)</f>
        <v>2777.87</v>
      </c>
      <c r="S528" s="7">
        <f t="shared" si="8"/>
        <v>8368</v>
      </c>
      <c r="T528" s="5">
        <f>tbl_financials[[#This Row],[Gross_Profit]]-tbl_financials[[#This Row],[Operating_Expenses]]+tbl_financials[[#This Row],[Other_Income]]</f>
        <v>18907.249999999902</v>
      </c>
      <c r="U528" s="11">
        <f>IF(tbl_financials[[#This Row],[Revenue]]=0,0,tbl_financials[[#This Row],[Net_Profit]]/tbl_financials[[#This Row],[Revenue]])</f>
        <v>1.0209583392731352</v>
      </c>
      <c r="V528" s="11" t="str">
        <f>tbl_financials[[#This Row],[Month_Name]] &amp; "_" &amp; tbl_financials[[#This Row],[Year]]</f>
        <v>January_2014</v>
      </c>
      <c r="W528" s="11" t="str">
        <f>tbl_financials[[#This Row],[Month_Name]] &amp; "_" &amp; (tbl_financials[[#This Row],[Year]]-1)</f>
        <v>January_2013</v>
      </c>
      <c r="X52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29" spans="1:24" x14ac:dyDescent="0.3">
      <c r="A529" t="s">
        <v>6</v>
      </c>
      <c r="B529" t="s">
        <v>17</v>
      </c>
      <c r="C529" t="s">
        <v>36</v>
      </c>
      <c r="D529" t="s">
        <v>41</v>
      </c>
      <c r="E529" s="9">
        <v>554</v>
      </c>
      <c r="F529" s="7">
        <v>250</v>
      </c>
      <c r="G529" s="7">
        <v>125</v>
      </c>
      <c r="H529" s="7">
        <v>69250</v>
      </c>
      <c r="I529" s="5">
        <v>7617.5</v>
      </c>
      <c r="J529" s="5">
        <v>61632.5</v>
      </c>
      <c r="K529" s="7">
        <v>66480</v>
      </c>
      <c r="L529" s="5">
        <v>-4847.5</v>
      </c>
      <c r="M529" s="1">
        <v>41640</v>
      </c>
      <c r="N529">
        <v>1</v>
      </c>
      <c r="O529" t="s">
        <v>18</v>
      </c>
      <c r="P529" t="s">
        <v>12</v>
      </c>
      <c r="Q529" s="5">
        <f>tbl_financials[[#This Row],[Net_Sales]]</f>
        <v>61632.5</v>
      </c>
      <c r="R529" s="5">
        <f>ROUND(tbl_financials[[#This Row],[Revenue]]*(0.12+MOD(ROW(),7)/100),2)</f>
        <v>9861.2000000000007</v>
      </c>
      <c r="S529" s="7">
        <f t="shared" si="8"/>
        <v>8399</v>
      </c>
      <c r="T529" s="5">
        <f>tbl_financials[[#This Row],[Gross_Profit]]-tbl_financials[[#This Row],[Operating_Expenses]]+tbl_financials[[#This Row],[Other_Income]]</f>
        <v>-6309.7000000000007</v>
      </c>
      <c r="U529" s="11">
        <f>IF(tbl_financials[[#This Row],[Revenue]]=0,0,tbl_financials[[#This Row],[Net_Profit]]/tbl_financials[[#This Row],[Revenue]])</f>
        <v>-0.1023761813978015</v>
      </c>
      <c r="V529" s="11" t="str">
        <f>tbl_financials[[#This Row],[Month_Name]] &amp; "_" &amp; tbl_financials[[#This Row],[Year]]</f>
        <v>January_2014</v>
      </c>
      <c r="W529" s="11" t="str">
        <f>tbl_financials[[#This Row],[Month_Name]] &amp; "_" &amp; (tbl_financials[[#This Row],[Year]]-1)</f>
        <v>January_2013</v>
      </c>
      <c r="X52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30" spans="1:24" x14ac:dyDescent="0.3">
      <c r="A530" t="s">
        <v>7</v>
      </c>
      <c r="B530" t="s">
        <v>13</v>
      </c>
      <c r="C530" t="s">
        <v>36</v>
      </c>
      <c r="D530" t="s">
        <v>41</v>
      </c>
      <c r="E530" s="9">
        <v>2935</v>
      </c>
      <c r="F530" s="7">
        <v>250</v>
      </c>
      <c r="G530" s="7">
        <v>20</v>
      </c>
      <c r="H530" s="7">
        <v>58700</v>
      </c>
      <c r="I530" s="5">
        <v>6457</v>
      </c>
      <c r="J530" s="5">
        <v>52243</v>
      </c>
      <c r="K530" s="7">
        <v>29350</v>
      </c>
      <c r="L530" s="5">
        <v>22893</v>
      </c>
      <c r="M530" s="1">
        <v>41579</v>
      </c>
      <c r="N530">
        <v>11</v>
      </c>
      <c r="O530" t="s">
        <v>28</v>
      </c>
      <c r="P530" t="s">
        <v>11</v>
      </c>
      <c r="Q530" s="5">
        <f>tbl_financials[[#This Row],[Net_Sales]]</f>
        <v>52243</v>
      </c>
      <c r="R530" s="5">
        <f>ROUND(tbl_financials[[#This Row],[Revenue]]*(0.12+MOD(ROW(),7)/100),2)</f>
        <v>8881.31</v>
      </c>
      <c r="S530" s="7">
        <f t="shared" si="8"/>
        <v>8430</v>
      </c>
      <c r="T530" s="5">
        <f>tbl_financials[[#This Row],[Gross_Profit]]-tbl_financials[[#This Row],[Operating_Expenses]]+tbl_financials[[#This Row],[Other_Income]]</f>
        <v>22441.690000000002</v>
      </c>
      <c r="U530" s="11">
        <f>IF(tbl_financials[[#This Row],[Revenue]]=0,0,tbl_financials[[#This Row],[Net_Profit]]/tbl_financials[[#This Row],[Revenue]])</f>
        <v>0.42956357789560329</v>
      </c>
      <c r="V530" s="11" t="str">
        <f>tbl_financials[[#This Row],[Month_Name]] &amp; "_" &amp; tbl_financials[[#This Row],[Year]]</f>
        <v>November_2013</v>
      </c>
      <c r="W530" s="11" t="str">
        <f>tbl_financials[[#This Row],[Month_Name]] &amp; "_" &amp; (tbl_financials[[#This Row],[Year]]-1)</f>
        <v>November_2012</v>
      </c>
      <c r="X53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31" spans="1:24" x14ac:dyDescent="0.3">
      <c r="A531" t="s">
        <v>6</v>
      </c>
      <c r="B531" t="s">
        <v>16</v>
      </c>
      <c r="C531" t="s">
        <v>37</v>
      </c>
      <c r="D531" t="s">
        <v>41</v>
      </c>
      <c r="E531" s="9">
        <v>3165</v>
      </c>
      <c r="F531" s="7">
        <v>260</v>
      </c>
      <c r="G531" s="7">
        <v>125</v>
      </c>
      <c r="H531" s="7">
        <v>395625</v>
      </c>
      <c r="I531" s="5">
        <v>43518.75</v>
      </c>
      <c r="J531" s="5">
        <v>352106.25</v>
      </c>
      <c r="K531" s="7">
        <v>379800</v>
      </c>
      <c r="L531" s="5">
        <v>-27693.75</v>
      </c>
      <c r="M531" s="1">
        <v>41640</v>
      </c>
      <c r="N531">
        <v>1</v>
      </c>
      <c r="O531" t="s">
        <v>18</v>
      </c>
      <c r="P531" t="s">
        <v>12</v>
      </c>
      <c r="Q531" s="5">
        <f>tbl_financials[[#This Row],[Net_Sales]]</f>
        <v>352106.25</v>
      </c>
      <c r="R531" s="5">
        <f>ROUND(tbl_financials[[#This Row],[Revenue]]*(0.12+MOD(ROW(),7)/100),2)</f>
        <v>63379.13</v>
      </c>
      <c r="S531" s="7">
        <f t="shared" si="8"/>
        <v>8461</v>
      </c>
      <c r="T531" s="5">
        <f>tbl_financials[[#This Row],[Gross_Profit]]-tbl_financials[[#This Row],[Operating_Expenses]]+tbl_financials[[#This Row],[Other_Income]]</f>
        <v>-82611.88</v>
      </c>
      <c r="U531" s="11">
        <f>IF(tbl_financials[[#This Row],[Revenue]]=0,0,tbl_financials[[#This Row],[Net_Profit]]/tbl_financials[[#This Row],[Revenue]])</f>
        <v>-0.23462202105188421</v>
      </c>
      <c r="V531" s="11" t="str">
        <f>tbl_financials[[#This Row],[Month_Name]] &amp; "_" &amp; tbl_financials[[#This Row],[Year]]</f>
        <v>January_2014</v>
      </c>
      <c r="W531" s="11" t="str">
        <f>tbl_financials[[#This Row],[Month_Name]] &amp; "_" &amp; (tbl_financials[[#This Row],[Year]]-1)</f>
        <v>January_2013</v>
      </c>
      <c r="X53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32" spans="1:24" x14ac:dyDescent="0.3">
      <c r="A532" t="s">
        <v>7</v>
      </c>
      <c r="B532" t="s">
        <v>17</v>
      </c>
      <c r="C532" t="s">
        <v>37</v>
      </c>
      <c r="D532" t="s">
        <v>41</v>
      </c>
      <c r="E532" s="9">
        <v>2629</v>
      </c>
      <c r="F532" s="7">
        <v>260</v>
      </c>
      <c r="G532" s="7">
        <v>20</v>
      </c>
      <c r="H532" s="7">
        <v>52580</v>
      </c>
      <c r="I532" s="5">
        <v>5783.8</v>
      </c>
      <c r="J532" s="5">
        <v>46796.2</v>
      </c>
      <c r="K532" s="7">
        <v>26290</v>
      </c>
      <c r="L532" s="5">
        <v>20506.199999999899</v>
      </c>
      <c r="M532" s="1">
        <v>41640</v>
      </c>
      <c r="N532">
        <v>1</v>
      </c>
      <c r="O532" t="s">
        <v>18</v>
      </c>
      <c r="P532" t="s">
        <v>12</v>
      </c>
      <c r="Q532" s="5">
        <f>tbl_financials[[#This Row],[Net_Sales]]</f>
        <v>46796.2</v>
      </c>
      <c r="R532" s="5">
        <f>ROUND(tbl_financials[[#This Row],[Revenue]]*(0.12+MOD(ROW(),7)/100),2)</f>
        <v>5615.54</v>
      </c>
      <c r="S532" s="7">
        <f t="shared" si="8"/>
        <v>8492</v>
      </c>
      <c r="T532" s="5">
        <f>tbl_financials[[#This Row],[Gross_Profit]]-tbl_financials[[#This Row],[Operating_Expenses]]+tbl_financials[[#This Row],[Other_Income]]</f>
        <v>23382.659999999898</v>
      </c>
      <c r="U532" s="11">
        <f>IF(tbl_financials[[#This Row],[Revenue]]=0,0,tbl_financials[[#This Row],[Net_Profit]]/tbl_financials[[#This Row],[Revenue]])</f>
        <v>0.49967005867997616</v>
      </c>
      <c r="V532" s="11" t="str">
        <f>tbl_financials[[#This Row],[Month_Name]] &amp; "_" &amp; tbl_financials[[#This Row],[Year]]</f>
        <v>January_2014</v>
      </c>
      <c r="W532" s="11" t="str">
        <f>tbl_financials[[#This Row],[Month_Name]] &amp; "_" &amp; (tbl_financials[[#This Row],[Year]]-1)</f>
        <v>January_2013</v>
      </c>
      <c r="X53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33" spans="1:24" x14ac:dyDescent="0.3">
      <c r="A533" t="s">
        <v>6</v>
      </c>
      <c r="B533" t="s">
        <v>15</v>
      </c>
      <c r="C533" t="s">
        <v>37</v>
      </c>
      <c r="D533" t="s">
        <v>41</v>
      </c>
      <c r="E533" s="9">
        <v>1433</v>
      </c>
      <c r="F533" s="7">
        <v>260</v>
      </c>
      <c r="G533" s="7">
        <v>125</v>
      </c>
      <c r="H533" s="7">
        <v>179125</v>
      </c>
      <c r="I533" s="5">
        <v>19703.75</v>
      </c>
      <c r="J533" s="5">
        <v>159421.25</v>
      </c>
      <c r="K533" s="7">
        <v>171960</v>
      </c>
      <c r="L533" s="5">
        <v>-12538.75</v>
      </c>
      <c r="M533" s="1">
        <v>41760</v>
      </c>
      <c r="N533">
        <v>5</v>
      </c>
      <c r="O533" t="s">
        <v>22</v>
      </c>
      <c r="P533" t="s">
        <v>12</v>
      </c>
      <c r="Q533" s="5">
        <f>tbl_financials[[#This Row],[Net_Sales]]</f>
        <v>159421.25</v>
      </c>
      <c r="R533" s="5">
        <f>ROUND(tbl_financials[[#This Row],[Revenue]]*(0.12+MOD(ROW(),7)/100),2)</f>
        <v>20724.759999999998</v>
      </c>
      <c r="S533" s="7">
        <f t="shared" si="8"/>
        <v>8523</v>
      </c>
      <c r="T533" s="5">
        <f>tbl_financials[[#This Row],[Gross_Profit]]-tbl_financials[[#This Row],[Operating_Expenses]]+tbl_financials[[#This Row],[Other_Income]]</f>
        <v>-24740.509999999995</v>
      </c>
      <c r="U533" s="11">
        <f>IF(tbl_financials[[#This Row],[Revenue]]=0,0,tbl_financials[[#This Row],[Net_Profit]]/tbl_financials[[#This Row],[Revenue]])</f>
        <v>-0.15518953715392392</v>
      </c>
      <c r="V533" s="11" t="str">
        <f>tbl_financials[[#This Row],[Month_Name]] &amp; "_" &amp; tbl_financials[[#This Row],[Year]]</f>
        <v>May_2014</v>
      </c>
      <c r="W533" s="11" t="str">
        <f>tbl_financials[[#This Row],[Month_Name]] &amp; "_" &amp; (tbl_financials[[#This Row],[Year]]-1)</f>
        <v>May_2013</v>
      </c>
      <c r="X53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34" spans="1:24" x14ac:dyDescent="0.3">
      <c r="A534" t="s">
        <v>6</v>
      </c>
      <c r="B534" t="s">
        <v>17</v>
      </c>
      <c r="C534" t="s">
        <v>37</v>
      </c>
      <c r="D534" t="s">
        <v>41</v>
      </c>
      <c r="E534" s="9">
        <v>947</v>
      </c>
      <c r="F534" s="7">
        <v>260</v>
      </c>
      <c r="G534" s="7">
        <v>125</v>
      </c>
      <c r="H534" s="7">
        <v>118375</v>
      </c>
      <c r="I534" s="5">
        <v>13021.25</v>
      </c>
      <c r="J534" s="5">
        <v>105353.75</v>
      </c>
      <c r="K534" s="7">
        <v>113640</v>
      </c>
      <c r="L534" s="5">
        <v>-8286.25</v>
      </c>
      <c r="M534" s="1">
        <v>41518</v>
      </c>
      <c r="N534">
        <v>9</v>
      </c>
      <c r="O534" t="s">
        <v>26</v>
      </c>
      <c r="P534" t="s">
        <v>11</v>
      </c>
      <c r="Q534" s="5">
        <f>tbl_financials[[#This Row],[Net_Sales]]</f>
        <v>105353.75</v>
      </c>
      <c r="R534" s="5">
        <f>ROUND(tbl_financials[[#This Row],[Revenue]]*(0.12+MOD(ROW(),7)/100),2)</f>
        <v>14749.53</v>
      </c>
      <c r="S534" s="7">
        <f t="shared" si="8"/>
        <v>8554</v>
      </c>
      <c r="T534" s="5">
        <f>tbl_financials[[#This Row],[Gross_Profit]]-tbl_financials[[#This Row],[Operating_Expenses]]+tbl_financials[[#This Row],[Other_Income]]</f>
        <v>-14481.779999999999</v>
      </c>
      <c r="U534" s="11">
        <f>IF(tbl_financials[[#This Row],[Revenue]]=0,0,tbl_financials[[#This Row],[Net_Profit]]/tbl_financials[[#This Row],[Revenue]])</f>
        <v>-0.13745860968404067</v>
      </c>
      <c r="V534" s="11" t="str">
        <f>tbl_financials[[#This Row],[Month_Name]] &amp; "_" &amp; tbl_financials[[#This Row],[Year]]</f>
        <v>September_2013</v>
      </c>
      <c r="W534" s="11" t="str">
        <f>tbl_financials[[#This Row],[Month_Name]] &amp; "_" &amp; (tbl_financials[[#This Row],[Year]]-1)</f>
        <v>September_2012</v>
      </c>
      <c r="X53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35" spans="1:24" x14ac:dyDescent="0.3">
      <c r="A535" t="s">
        <v>7</v>
      </c>
      <c r="B535" t="s">
        <v>17</v>
      </c>
      <c r="C535" t="s">
        <v>37</v>
      </c>
      <c r="D535" t="s">
        <v>41</v>
      </c>
      <c r="E535" s="9">
        <v>344</v>
      </c>
      <c r="F535" s="7">
        <v>260</v>
      </c>
      <c r="G535" s="7">
        <v>350</v>
      </c>
      <c r="H535" s="7">
        <v>120400</v>
      </c>
      <c r="I535" s="5">
        <v>13244</v>
      </c>
      <c r="J535" s="5">
        <v>107156</v>
      </c>
      <c r="K535" s="7">
        <v>89440</v>
      </c>
      <c r="L535" s="5">
        <v>17716</v>
      </c>
      <c r="M535" s="1">
        <v>41548</v>
      </c>
      <c r="N535">
        <v>10</v>
      </c>
      <c r="O535" t="s">
        <v>27</v>
      </c>
      <c r="P535" t="s">
        <v>11</v>
      </c>
      <c r="Q535" s="5">
        <f>tbl_financials[[#This Row],[Net_Sales]]</f>
        <v>107156</v>
      </c>
      <c r="R535" s="5">
        <f>ROUND(tbl_financials[[#This Row],[Revenue]]*(0.12+MOD(ROW(),7)/100),2)</f>
        <v>16073.4</v>
      </c>
      <c r="S535" s="7">
        <f t="shared" si="8"/>
        <v>8585</v>
      </c>
      <c r="T535" s="5">
        <f>tbl_financials[[#This Row],[Gross_Profit]]-tbl_financials[[#This Row],[Operating_Expenses]]+tbl_financials[[#This Row],[Other_Income]]</f>
        <v>10227.6</v>
      </c>
      <c r="U535" s="11">
        <f>IF(tbl_financials[[#This Row],[Revenue]]=0,0,tbl_financials[[#This Row],[Net_Profit]]/tbl_financials[[#This Row],[Revenue]])</f>
        <v>9.5445891970584951E-2</v>
      </c>
      <c r="V535" s="11" t="str">
        <f>tbl_financials[[#This Row],[Month_Name]] &amp; "_" &amp; tbl_financials[[#This Row],[Year]]</f>
        <v>October_2013</v>
      </c>
      <c r="W535" s="11" t="str">
        <f>tbl_financials[[#This Row],[Month_Name]] &amp; "_" &amp; (tbl_financials[[#This Row],[Year]]-1)</f>
        <v>October_2012</v>
      </c>
      <c r="X53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36" spans="1:24" x14ac:dyDescent="0.3">
      <c r="A536" t="s">
        <v>5</v>
      </c>
      <c r="B536" t="s">
        <v>17</v>
      </c>
      <c r="C536" t="s">
        <v>37</v>
      </c>
      <c r="D536" t="s">
        <v>41</v>
      </c>
      <c r="E536" s="9">
        <v>2157</v>
      </c>
      <c r="F536" s="7">
        <v>260</v>
      </c>
      <c r="G536" s="7">
        <v>15</v>
      </c>
      <c r="H536" s="7">
        <v>32355</v>
      </c>
      <c r="I536" s="5">
        <v>3559.05</v>
      </c>
      <c r="J536" s="5">
        <v>28795.95</v>
      </c>
      <c r="K536" s="7">
        <v>21570</v>
      </c>
      <c r="L536" s="5">
        <v>7225.95</v>
      </c>
      <c r="M536" s="1">
        <v>41974</v>
      </c>
      <c r="N536">
        <v>12</v>
      </c>
      <c r="O536" t="s">
        <v>29</v>
      </c>
      <c r="P536" t="s">
        <v>12</v>
      </c>
      <c r="Q536" s="5">
        <f>tbl_financials[[#This Row],[Net_Sales]]</f>
        <v>28795.95</v>
      </c>
      <c r="R536" s="5">
        <f>ROUND(tbl_financials[[#This Row],[Revenue]]*(0.12+MOD(ROW(),7)/100),2)</f>
        <v>4607.3500000000004</v>
      </c>
      <c r="S536" s="7">
        <f t="shared" si="8"/>
        <v>8616</v>
      </c>
      <c r="T536" s="5">
        <f>tbl_financials[[#This Row],[Gross_Profit]]-tbl_financials[[#This Row],[Operating_Expenses]]+tbl_financials[[#This Row],[Other_Income]]</f>
        <v>11234.599999999999</v>
      </c>
      <c r="U536" s="11">
        <f>IF(tbl_financials[[#This Row],[Revenue]]=0,0,tbl_financials[[#This Row],[Net_Profit]]/tbl_financials[[#This Row],[Revenue]])</f>
        <v>0.3901451419383628</v>
      </c>
      <c r="V536" s="11" t="str">
        <f>tbl_financials[[#This Row],[Month_Name]] &amp; "_" &amp; tbl_financials[[#This Row],[Year]]</f>
        <v>December_2014</v>
      </c>
      <c r="W536" s="11" t="str">
        <f>tbl_financials[[#This Row],[Month_Name]] &amp; "_" &amp; (tbl_financials[[#This Row],[Year]]-1)</f>
        <v>December_2013</v>
      </c>
      <c r="X53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-0.10793215613382898</v>
      </c>
    </row>
    <row r="537" spans="1:24" x14ac:dyDescent="0.3">
      <c r="A537" t="s">
        <v>7</v>
      </c>
      <c r="B537" t="s">
        <v>14</v>
      </c>
      <c r="C537" t="s">
        <v>34</v>
      </c>
      <c r="D537" t="s">
        <v>41</v>
      </c>
      <c r="E537" s="9">
        <v>380</v>
      </c>
      <c r="F537" s="7">
        <v>10</v>
      </c>
      <c r="G537" s="7">
        <v>7</v>
      </c>
      <c r="H537" s="7">
        <v>2660</v>
      </c>
      <c r="I537" s="5">
        <v>292.60000000000002</v>
      </c>
      <c r="J537" s="5">
        <v>2367.4</v>
      </c>
      <c r="K537" s="7">
        <v>1900</v>
      </c>
      <c r="L537" s="5">
        <v>467.4</v>
      </c>
      <c r="M537" s="1">
        <v>41518</v>
      </c>
      <c r="N537">
        <v>9</v>
      </c>
      <c r="O537" t="s">
        <v>26</v>
      </c>
      <c r="P537" t="s">
        <v>11</v>
      </c>
      <c r="Q537" s="5">
        <f>tbl_financials[[#This Row],[Net_Sales]]</f>
        <v>2367.4</v>
      </c>
      <c r="R537" s="5">
        <f>ROUND(tbl_financials[[#This Row],[Revenue]]*(0.12+MOD(ROW(),7)/100),2)</f>
        <v>402.46</v>
      </c>
      <c r="S537" s="7">
        <f t="shared" si="8"/>
        <v>8647</v>
      </c>
      <c r="T537" s="5">
        <f>tbl_financials[[#This Row],[Gross_Profit]]-tbl_financials[[#This Row],[Operating_Expenses]]+tbl_financials[[#This Row],[Other_Income]]</f>
        <v>8711.94</v>
      </c>
      <c r="U537" s="11">
        <f>IF(tbl_financials[[#This Row],[Revenue]]=0,0,tbl_financials[[#This Row],[Net_Profit]]/tbl_financials[[#This Row],[Revenue]])</f>
        <v>3.6799611388020614</v>
      </c>
      <c r="V537" s="11" t="str">
        <f>tbl_financials[[#This Row],[Month_Name]] &amp; "_" &amp; tbl_financials[[#This Row],[Year]]</f>
        <v>September_2013</v>
      </c>
      <c r="W537" s="11" t="str">
        <f>tbl_financials[[#This Row],[Month_Name]] &amp; "_" &amp; (tbl_financials[[#This Row],[Year]]-1)</f>
        <v>September_2012</v>
      </c>
      <c r="X53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38" spans="1:24" x14ac:dyDescent="0.3">
      <c r="A538" t="s">
        <v>7</v>
      </c>
      <c r="B538" t="s">
        <v>17</v>
      </c>
      <c r="C538" t="s">
        <v>32</v>
      </c>
      <c r="D538" t="s">
        <v>41</v>
      </c>
      <c r="E538" s="9">
        <v>886</v>
      </c>
      <c r="F538" s="7">
        <v>3</v>
      </c>
      <c r="G538" s="7">
        <v>350</v>
      </c>
      <c r="H538" s="7">
        <v>310100</v>
      </c>
      <c r="I538" s="5">
        <v>37212</v>
      </c>
      <c r="J538" s="5">
        <v>272888</v>
      </c>
      <c r="K538" s="7">
        <v>230360</v>
      </c>
      <c r="L538" s="5">
        <v>42528</v>
      </c>
      <c r="M538" s="1">
        <v>41791</v>
      </c>
      <c r="N538">
        <v>6</v>
      </c>
      <c r="O538" t="s">
        <v>23</v>
      </c>
      <c r="P538" t="s">
        <v>12</v>
      </c>
      <c r="Q538" s="5">
        <f>tbl_financials[[#This Row],[Net_Sales]]</f>
        <v>272888</v>
      </c>
      <c r="R538" s="5">
        <f>ROUND(tbl_financials[[#This Row],[Revenue]]*(0.12+MOD(ROW(),7)/100),2)</f>
        <v>49119.839999999997</v>
      </c>
      <c r="S538" s="7">
        <f t="shared" si="8"/>
        <v>8678</v>
      </c>
      <c r="T538" s="5">
        <f>tbl_financials[[#This Row],[Gross_Profit]]-tbl_financials[[#This Row],[Operating_Expenses]]+tbl_financials[[#This Row],[Other_Income]]</f>
        <v>2086.1600000000035</v>
      </c>
      <c r="U538" s="11">
        <f>IF(tbl_financials[[#This Row],[Revenue]]=0,0,tbl_financials[[#This Row],[Net_Profit]]/tbl_financials[[#This Row],[Revenue]])</f>
        <v>7.6447480284952199E-3</v>
      </c>
      <c r="V538" s="11" t="str">
        <f>tbl_financials[[#This Row],[Month_Name]] &amp; "_" &amp; tbl_financials[[#This Row],[Year]]</f>
        <v>June_2014</v>
      </c>
      <c r="W538" s="11" t="str">
        <f>tbl_financials[[#This Row],[Month_Name]] &amp; "_" &amp; (tbl_financials[[#This Row],[Year]]-1)</f>
        <v>June_2013</v>
      </c>
      <c r="X53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39" spans="1:24" x14ac:dyDescent="0.3">
      <c r="A539" t="s">
        <v>6</v>
      </c>
      <c r="B539" t="s">
        <v>13</v>
      </c>
      <c r="C539" t="s">
        <v>32</v>
      </c>
      <c r="D539" t="s">
        <v>41</v>
      </c>
      <c r="E539" s="9">
        <v>2416</v>
      </c>
      <c r="F539" s="7">
        <v>3</v>
      </c>
      <c r="G539" s="7">
        <v>125</v>
      </c>
      <c r="H539" s="7">
        <v>302000</v>
      </c>
      <c r="I539" s="5">
        <v>36240</v>
      </c>
      <c r="J539" s="5">
        <v>265760</v>
      </c>
      <c r="K539" s="7">
        <v>289920</v>
      </c>
      <c r="L539" s="5">
        <v>-24160</v>
      </c>
      <c r="M539" s="1">
        <v>41518</v>
      </c>
      <c r="N539">
        <v>9</v>
      </c>
      <c r="O539" t="s">
        <v>26</v>
      </c>
      <c r="P539" t="s">
        <v>11</v>
      </c>
      <c r="Q539" s="5">
        <f>tbl_financials[[#This Row],[Net_Sales]]</f>
        <v>265760</v>
      </c>
      <c r="R539" s="5">
        <f>ROUND(tbl_financials[[#This Row],[Revenue]]*(0.12+MOD(ROW(),7)/100),2)</f>
        <v>31891.200000000001</v>
      </c>
      <c r="S539" s="7">
        <f t="shared" si="8"/>
        <v>8709</v>
      </c>
      <c r="T539" s="5">
        <f>tbl_financials[[#This Row],[Gross_Profit]]-tbl_financials[[#This Row],[Operating_Expenses]]+tbl_financials[[#This Row],[Other_Income]]</f>
        <v>-47342.2</v>
      </c>
      <c r="U539" s="11">
        <f>IF(tbl_financials[[#This Row],[Revenue]]=0,0,tbl_financials[[#This Row],[Net_Profit]]/tbl_financials[[#This Row],[Revenue]])</f>
        <v>-0.1781389223359422</v>
      </c>
      <c r="V539" s="11" t="str">
        <f>tbl_financials[[#This Row],[Month_Name]] &amp; "_" &amp; tbl_financials[[#This Row],[Year]]</f>
        <v>September_2013</v>
      </c>
      <c r="W539" s="11" t="str">
        <f>tbl_financials[[#This Row],[Month_Name]] &amp; "_" &amp; (tbl_financials[[#This Row],[Year]]-1)</f>
        <v>September_2012</v>
      </c>
      <c r="X53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40" spans="1:24" x14ac:dyDescent="0.3">
      <c r="A540" t="s">
        <v>6</v>
      </c>
      <c r="B540" t="s">
        <v>17</v>
      </c>
      <c r="C540" t="s">
        <v>32</v>
      </c>
      <c r="D540" t="s">
        <v>41</v>
      </c>
      <c r="E540" s="9">
        <v>2156</v>
      </c>
      <c r="F540" s="7">
        <v>3</v>
      </c>
      <c r="G540" s="7">
        <v>125</v>
      </c>
      <c r="H540" s="7">
        <v>269500</v>
      </c>
      <c r="I540" s="5">
        <v>32340</v>
      </c>
      <c r="J540" s="5">
        <v>237160</v>
      </c>
      <c r="K540" s="7">
        <v>258720</v>
      </c>
      <c r="L540" s="5">
        <v>-21560</v>
      </c>
      <c r="M540" s="1">
        <v>41913</v>
      </c>
      <c r="N540">
        <v>10</v>
      </c>
      <c r="O540" t="s">
        <v>27</v>
      </c>
      <c r="P540" t="s">
        <v>12</v>
      </c>
      <c r="Q540" s="5">
        <f>tbl_financials[[#This Row],[Net_Sales]]</f>
        <v>237160</v>
      </c>
      <c r="R540" s="5">
        <f>ROUND(tbl_financials[[#This Row],[Revenue]]*(0.12+MOD(ROW(),7)/100),2)</f>
        <v>30830.799999999999</v>
      </c>
      <c r="S540" s="7">
        <f t="shared" si="8"/>
        <v>8740</v>
      </c>
      <c r="T540" s="5">
        <f>tbl_financials[[#This Row],[Gross_Profit]]-tbl_financials[[#This Row],[Operating_Expenses]]+tbl_financials[[#This Row],[Other_Income]]</f>
        <v>-43650.8</v>
      </c>
      <c r="U540" s="11">
        <f>IF(tbl_financials[[#This Row],[Revenue]]=0,0,tbl_financials[[#This Row],[Net_Profit]]/tbl_financials[[#This Row],[Revenue]])</f>
        <v>-0.18405633327711252</v>
      </c>
      <c r="V540" s="11" t="str">
        <f>tbl_financials[[#This Row],[Month_Name]] &amp; "_" &amp; tbl_financials[[#This Row],[Year]]</f>
        <v>October_2014</v>
      </c>
      <c r="W540" s="11" t="str">
        <f>tbl_financials[[#This Row],[Month_Name]] &amp; "_" &amp; (tbl_financials[[#This Row],[Year]]-1)</f>
        <v>October_2013</v>
      </c>
      <c r="X54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4.4993623188405794</v>
      </c>
    </row>
    <row r="541" spans="1:24" x14ac:dyDescent="0.3">
      <c r="A541" t="s">
        <v>5</v>
      </c>
      <c r="B541" t="s">
        <v>13</v>
      </c>
      <c r="C541" t="s">
        <v>32</v>
      </c>
      <c r="D541" t="s">
        <v>41</v>
      </c>
      <c r="E541" s="9">
        <v>2689</v>
      </c>
      <c r="F541" s="7">
        <v>3</v>
      </c>
      <c r="G541" s="7">
        <v>15</v>
      </c>
      <c r="H541" s="7">
        <v>40335</v>
      </c>
      <c r="I541" s="5">
        <v>4840.2</v>
      </c>
      <c r="J541" s="5">
        <v>35494.800000000003</v>
      </c>
      <c r="K541" s="7">
        <v>26890</v>
      </c>
      <c r="L541" s="5">
        <v>8604.7999999999993</v>
      </c>
      <c r="M541" s="1">
        <v>41944</v>
      </c>
      <c r="N541">
        <v>11</v>
      </c>
      <c r="O541" t="s">
        <v>28</v>
      </c>
      <c r="P541" t="s">
        <v>12</v>
      </c>
      <c r="Q541" s="5">
        <f>tbl_financials[[#This Row],[Net_Sales]]</f>
        <v>35494.800000000003</v>
      </c>
      <c r="R541" s="5">
        <f>ROUND(tbl_financials[[#This Row],[Revenue]]*(0.12+MOD(ROW(),7)/100),2)</f>
        <v>4969.2700000000004</v>
      </c>
      <c r="S541" s="7">
        <f t="shared" si="8"/>
        <v>8771</v>
      </c>
      <c r="T541" s="5">
        <f>tbl_financials[[#This Row],[Gross_Profit]]-tbl_financials[[#This Row],[Operating_Expenses]]+tbl_financials[[#This Row],[Other_Income]]</f>
        <v>12406.529999999999</v>
      </c>
      <c r="U541" s="11">
        <f>IF(tbl_financials[[#This Row],[Revenue]]=0,0,tbl_financials[[#This Row],[Net_Profit]]/tbl_financials[[#This Row],[Revenue]])</f>
        <v>0.34953091720477358</v>
      </c>
      <c r="V541" s="11" t="str">
        <f>tbl_financials[[#This Row],[Month_Name]] &amp; "_" &amp; tbl_financials[[#This Row],[Year]]</f>
        <v>November_2014</v>
      </c>
      <c r="W541" s="11" t="str">
        <f>tbl_financials[[#This Row],[Month_Name]] &amp; "_" &amp; (tbl_financials[[#This Row],[Year]]-1)</f>
        <v>November_2013</v>
      </c>
      <c r="X54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-0.94120944099378878</v>
      </c>
    </row>
    <row r="542" spans="1:24" x14ac:dyDescent="0.3">
      <c r="A542" t="s">
        <v>5</v>
      </c>
      <c r="B542" t="s">
        <v>14</v>
      </c>
      <c r="C542" t="s">
        <v>33</v>
      </c>
      <c r="D542" t="s">
        <v>41</v>
      </c>
      <c r="E542" s="9">
        <v>677</v>
      </c>
      <c r="F542" s="7">
        <v>5</v>
      </c>
      <c r="G542" s="7">
        <v>15</v>
      </c>
      <c r="H542" s="7">
        <v>10155</v>
      </c>
      <c r="I542" s="5">
        <v>1218.5999999999999</v>
      </c>
      <c r="J542" s="5">
        <v>8936.4</v>
      </c>
      <c r="K542" s="7">
        <v>6770</v>
      </c>
      <c r="L542" s="5">
        <v>2166.3999999999901</v>
      </c>
      <c r="M542" s="1">
        <v>41699</v>
      </c>
      <c r="N542">
        <v>3</v>
      </c>
      <c r="O542" t="s">
        <v>20</v>
      </c>
      <c r="P542" t="s">
        <v>12</v>
      </c>
      <c r="Q542" s="5">
        <f>tbl_financials[[#This Row],[Net_Sales]]</f>
        <v>8936.4</v>
      </c>
      <c r="R542" s="5">
        <f>ROUND(tbl_financials[[#This Row],[Revenue]]*(0.12+MOD(ROW(),7)/100),2)</f>
        <v>1340.46</v>
      </c>
      <c r="S542" s="7">
        <f t="shared" si="8"/>
        <v>8802</v>
      </c>
      <c r="T542" s="5">
        <f>tbl_financials[[#This Row],[Gross_Profit]]-tbl_financials[[#This Row],[Operating_Expenses]]+tbl_financials[[#This Row],[Other_Income]]</f>
        <v>9627.9399999999896</v>
      </c>
      <c r="U542" s="11">
        <f>IF(tbl_financials[[#This Row],[Revenue]]=0,0,tbl_financials[[#This Row],[Net_Profit]]/tbl_financials[[#This Row],[Revenue]])</f>
        <v>1.0773846291571538</v>
      </c>
      <c r="V542" s="11" t="str">
        <f>tbl_financials[[#This Row],[Month_Name]] &amp; "_" &amp; tbl_financials[[#This Row],[Year]]</f>
        <v>March_2014</v>
      </c>
      <c r="W542" s="11" t="str">
        <f>tbl_financials[[#This Row],[Month_Name]] &amp; "_" &amp; (tbl_financials[[#This Row],[Year]]-1)</f>
        <v>March_2013</v>
      </c>
      <c r="X54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43" spans="1:24" x14ac:dyDescent="0.3">
      <c r="A543" t="s">
        <v>4</v>
      </c>
      <c r="B543" t="s">
        <v>15</v>
      </c>
      <c r="C543" t="s">
        <v>33</v>
      </c>
      <c r="D543" t="s">
        <v>41</v>
      </c>
      <c r="E543" s="9">
        <v>1773</v>
      </c>
      <c r="F543" s="7">
        <v>5</v>
      </c>
      <c r="G543" s="7">
        <v>300</v>
      </c>
      <c r="H543" s="7">
        <v>531900</v>
      </c>
      <c r="I543" s="5">
        <v>63828</v>
      </c>
      <c r="J543" s="5">
        <v>468072</v>
      </c>
      <c r="K543" s="7">
        <v>443250</v>
      </c>
      <c r="L543" s="5">
        <v>24822</v>
      </c>
      <c r="M543" s="1">
        <v>41730</v>
      </c>
      <c r="N543">
        <v>4</v>
      </c>
      <c r="O543" t="s">
        <v>21</v>
      </c>
      <c r="P543" t="s">
        <v>12</v>
      </c>
      <c r="Q543" s="5">
        <f>tbl_financials[[#This Row],[Net_Sales]]</f>
        <v>468072</v>
      </c>
      <c r="R543" s="5">
        <f>ROUND(tbl_financials[[#This Row],[Revenue]]*(0.12+MOD(ROW(),7)/100),2)</f>
        <v>74891.520000000004</v>
      </c>
      <c r="S543" s="7">
        <f t="shared" si="8"/>
        <v>8833</v>
      </c>
      <c r="T543" s="5">
        <f>tbl_financials[[#This Row],[Gross_Profit]]-tbl_financials[[#This Row],[Operating_Expenses]]+tbl_financials[[#This Row],[Other_Income]]</f>
        <v>-41236.520000000004</v>
      </c>
      <c r="U543" s="11">
        <f>IF(tbl_financials[[#This Row],[Revenue]]=0,0,tbl_financials[[#This Row],[Net_Profit]]/tbl_financials[[#This Row],[Revenue]])</f>
        <v>-8.8098668580902095E-2</v>
      </c>
      <c r="V543" s="11" t="str">
        <f>tbl_financials[[#This Row],[Month_Name]] &amp; "_" &amp; tbl_financials[[#This Row],[Year]]</f>
        <v>April_2014</v>
      </c>
      <c r="W543" s="11" t="str">
        <f>tbl_financials[[#This Row],[Month_Name]] &amp; "_" &amp; (tbl_financials[[#This Row],[Year]]-1)</f>
        <v>April_2013</v>
      </c>
      <c r="X54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44" spans="1:24" x14ac:dyDescent="0.3">
      <c r="A544" t="s">
        <v>7</v>
      </c>
      <c r="B544" t="s">
        <v>17</v>
      </c>
      <c r="C544" t="s">
        <v>33</v>
      </c>
      <c r="D544" t="s">
        <v>41</v>
      </c>
      <c r="E544" s="9">
        <v>2420</v>
      </c>
      <c r="F544" s="7">
        <v>5</v>
      </c>
      <c r="G544" s="7">
        <v>7</v>
      </c>
      <c r="H544" s="7">
        <v>16940</v>
      </c>
      <c r="I544" s="5">
        <v>2032.8</v>
      </c>
      <c r="J544" s="5">
        <v>14907.2</v>
      </c>
      <c r="K544" s="7">
        <v>12100</v>
      </c>
      <c r="L544" s="5">
        <v>2807.2</v>
      </c>
      <c r="M544" s="1">
        <v>41883</v>
      </c>
      <c r="N544">
        <v>9</v>
      </c>
      <c r="O544" t="s">
        <v>26</v>
      </c>
      <c r="P544" t="s">
        <v>12</v>
      </c>
      <c r="Q544" s="5">
        <f>tbl_financials[[#This Row],[Net_Sales]]</f>
        <v>14907.2</v>
      </c>
      <c r="R544" s="5">
        <f>ROUND(tbl_financials[[#This Row],[Revenue]]*(0.12+MOD(ROW(),7)/100),2)</f>
        <v>2534.2199999999998</v>
      </c>
      <c r="S544" s="7">
        <f t="shared" si="8"/>
        <v>8864</v>
      </c>
      <c r="T544" s="5">
        <f>tbl_financials[[#This Row],[Gross_Profit]]-tbl_financials[[#This Row],[Operating_Expenses]]+tbl_financials[[#This Row],[Other_Income]]</f>
        <v>9136.98</v>
      </c>
      <c r="U544" s="11">
        <f>IF(tbl_financials[[#This Row],[Revenue]]=0,0,tbl_financials[[#This Row],[Net_Profit]]/tbl_financials[[#This Row],[Revenue]])</f>
        <v>0.61292395620908013</v>
      </c>
      <c r="V544" s="11" t="str">
        <f>tbl_financials[[#This Row],[Month_Name]] &amp; "_" &amp; tbl_financials[[#This Row],[Year]]</f>
        <v>September_2014</v>
      </c>
      <c r="W544" s="11" t="str">
        <f>tbl_financials[[#This Row],[Month_Name]] &amp; "_" &amp; (tbl_financials[[#This Row],[Year]]-1)</f>
        <v>September_2013</v>
      </c>
      <c r="X54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0.81022465088038864</v>
      </c>
    </row>
    <row r="545" spans="1:24" x14ac:dyDescent="0.3">
      <c r="A545" t="s">
        <v>7</v>
      </c>
      <c r="B545" t="s">
        <v>13</v>
      </c>
      <c r="C545" t="s">
        <v>33</v>
      </c>
      <c r="D545" t="s">
        <v>41</v>
      </c>
      <c r="E545" s="9">
        <v>2734</v>
      </c>
      <c r="F545" s="7">
        <v>5</v>
      </c>
      <c r="G545" s="7">
        <v>7</v>
      </c>
      <c r="H545" s="7">
        <v>19138</v>
      </c>
      <c r="I545" s="5">
        <v>2296.56</v>
      </c>
      <c r="J545" s="5">
        <v>16841.439999999999</v>
      </c>
      <c r="K545" s="7">
        <v>13670</v>
      </c>
      <c r="L545" s="5">
        <v>3171.4399999999901</v>
      </c>
      <c r="M545" s="1">
        <v>41913</v>
      </c>
      <c r="N545">
        <v>10</v>
      </c>
      <c r="O545" t="s">
        <v>27</v>
      </c>
      <c r="P545" t="s">
        <v>12</v>
      </c>
      <c r="Q545" s="5">
        <f>tbl_financials[[#This Row],[Net_Sales]]</f>
        <v>16841.439999999999</v>
      </c>
      <c r="R545" s="5">
        <f>ROUND(tbl_financials[[#This Row],[Revenue]]*(0.12+MOD(ROW(),7)/100),2)</f>
        <v>3031.46</v>
      </c>
      <c r="S545" s="7">
        <f t="shared" si="8"/>
        <v>8895</v>
      </c>
      <c r="T545" s="5">
        <f>tbl_financials[[#This Row],[Gross_Profit]]-tbl_financials[[#This Row],[Operating_Expenses]]+tbl_financials[[#This Row],[Other_Income]]</f>
        <v>9034.9799999999905</v>
      </c>
      <c r="U545" s="11">
        <f>IF(tbl_financials[[#This Row],[Revenue]]=0,0,tbl_financials[[#This Row],[Net_Profit]]/tbl_financials[[#This Row],[Revenue]])</f>
        <v>0.53647312818856296</v>
      </c>
      <c r="V545" s="11" t="str">
        <f>tbl_financials[[#This Row],[Month_Name]] &amp; "_" &amp; tbl_financials[[#This Row],[Year]]</f>
        <v>October_2014</v>
      </c>
      <c r="W545" s="11" t="str">
        <f>tbl_financials[[#This Row],[Month_Name]] &amp; "_" &amp; (tbl_financials[[#This Row],[Year]]-1)</f>
        <v>October_2013</v>
      </c>
      <c r="X54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-0.60947385507246377</v>
      </c>
    </row>
    <row r="546" spans="1:24" x14ac:dyDescent="0.3">
      <c r="A546" t="s">
        <v>7</v>
      </c>
      <c r="B546" t="s">
        <v>17</v>
      </c>
      <c r="C546" t="s">
        <v>33</v>
      </c>
      <c r="D546" t="s">
        <v>41</v>
      </c>
      <c r="E546" s="9">
        <v>1715</v>
      </c>
      <c r="F546" s="7">
        <v>5</v>
      </c>
      <c r="G546" s="7">
        <v>20</v>
      </c>
      <c r="H546" s="7">
        <v>34300</v>
      </c>
      <c r="I546" s="5">
        <v>4116</v>
      </c>
      <c r="J546" s="5">
        <v>30184</v>
      </c>
      <c r="K546" s="7">
        <v>17150</v>
      </c>
      <c r="L546" s="5">
        <v>13034</v>
      </c>
      <c r="M546" s="1">
        <v>41548</v>
      </c>
      <c r="N546">
        <v>10</v>
      </c>
      <c r="O546" t="s">
        <v>27</v>
      </c>
      <c r="P546" t="s">
        <v>11</v>
      </c>
      <c r="Q546" s="5">
        <f>tbl_financials[[#This Row],[Net_Sales]]</f>
        <v>30184</v>
      </c>
      <c r="R546" s="5">
        <f>ROUND(tbl_financials[[#This Row],[Revenue]]*(0.12+MOD(ROW(),7)/100),2)</f>
        <v>3622.08</v>
      </c>
      <c r="S546" s="7">
        <f t="shared" si="8"/>
        <v>8926</v>
      </c>
      <c r="T546" s="5">
        <f>tbl_financials[[#This Row],[Gross_Profit]]-tbl_financials[[#This Row],[Operating_Expenses]]+tbl_financials[[#This Row],[Other_Income]]</f>
        <v>18337.919999999998</v>
      </c>
      <c r="U546" s="11">
        <f>IF(tbl_financials[[#This Row],[Revenue]]=0,0,tbl_financials[[#This Row],[Net_Profit]]/tbl_financials[[#This Row],[Revenue]])</f>
        <v>0.60753776835409479</v>
      </c>
      <c r="V546" s="11" t="str">
        <f>tbl_financials[[#This Row],[Month_Name]] &amp; "_" &amp; tbl_financials[[#This Row],[Year]]</f>
        <v>October_2013</v>
      </c>
      <c r="W546" s="11" t="str">
        <f>tbl_financials[[#This Row],[Month_Name]] &amp; "_" &amp; (tbl_financials[[#This Row],[Year]]-1)</f>
        <v>October_2012</v>
      </c>
      <c r="X54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47" spans="1:24" x14ac:dyDescent="0.3">
      <c r="A547" t="s">
        <v>4</v>
      </c>
      <c r="B547" t="s">
        <v>15</v>
      </c>
      <c r="C547" t="s">
        <v>33</v>
      </c>
      <c r="D547" t="s">
        <v>41</v>
      </c>
      <c r="E547" s="9">
        <v>1186</v>
      </c>
      <c r="F547" s="7">
        <v>5</v>
      </c>
      <c r="G547" s="7">
        <v>300</v>
      </c>
      <c r="H547" s="7">
        <v>355800</v>
      </c>
      <c r="I547" s="5">
        <v>42696</v>
      </c>
      <c r="J547" s="5">
        <v>313104</v>
      </c>
      <c r="K547" s="7">
        <v>296500</v>
      </c>
      <c r="L547" s="5">
        <v>16604</v>
      </c>
      <c r="M547" s="1">
        <v>41609</v>
      </c>
      <c r="N547">
        <v>12</v>
      </c>
      <c r="O547" t="s">
        <v>29</v>
      </c>
      <c r="P547" t="s">
        <v>11</v>
      </c>
      <c r="Q547" s="5">
        <f>tbl_financials[[#This Row],[Net_Sales]]</f>
        <v>313104</v>
      </c>
      <c r="R547" s="5">
        <f>ROUND(tbl_financials[[#This Row],[Revenue]]*(0.12+MOD(ROW(),7)/100),2)</f>
        <v>40703.519999999997</v>
      </c>
      <c r="S547" s="7">
        <f t="shared" si="8"/>
        <v>8957</v>
      </c>
      <c r="T547" s="5">
        <f>tbl_financials[[#This Row],[Gross_Profit]]-tbl_financials[[#This Row],[Operating_Expenses]]+tbl_financials[[#This Row],[Other_Income]]</f>
        <v>-15142.519999999997</v>
      </c>
      <c r="U547" s="11">
        <f>IF(tbl_financials[[#This Row],[Revenue]]=0,0,tbl_financials[[#This Row],[Net_Profit]]/tbl_financials[[#This Row],[Revenue]])</f>
        <v>-4.8362588788389789E-2</v>
      </c>
      <c r="V547" s="11" t="str">
        <f>tbl_financials[[#This Row],[Month_Name]] &amp; "_" &amp; tbl_financials[[#This Row],[Year]]</f>
        <v>December_2013</v>
      </c>
      <c r="W547" s="11" t="str">
        <f>tbl_financials[[#This Row],[Month_Name]] &amp; "_" &amp; (tbl_financials[[#This Row],[Year]]-1)</f>
        <v>December_2012</v>
      </c>
      <c r="X54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48" spans="1:24" x14ac:dyDescent="0.3">
      <c r="A548" t="s">
        <v>4</v>
      </c>
      <c r="B548" t="s">
        <v>14</v>
      </c>
      <c r="C548" t="s">
        <v>34</v>
      </c>
      <c r="D548" t="s">
        <v>41</v>
      </c>
      <c r="E548" s="9">
        <v>3495</v>
      </c>
      <c r="F548" s="7">
        <v>10</v>
      </c>
      <c r="G548" s="7">
        <v>300</v>
      </c>
      <c r="H548" s="7">
        <v>1048500</v>
      </c>
      <c r="I548" s="5">
        <v>125820</v>
      </c>
      <c r="J548" s="5">
        <v>922680</v>
      </c>
      <c r="K548" s="7">
        <v>873750</v>
      </c>
      <c r="L548" s="5">
        <v>48930</v>
      </c>
      <c r="M548" s="1">
        <v>41640</v>
      </c>
      <c r="N548">
        <v>1</v>
      </c>
      <c r="O548" t="s">
        <v>18</v>
      </c>
      <c r="P548" t="s">
        <v>12</v>
      </c>
      <c r="Q548" s="5">
        <f>tbl_financials[[#This Row],[Net_Sales]]</f>
        <v>922680</v>
      </c>
      <c r="R548" s="5">
        <f>ROUND(tbl_financials[[#This Row],[Revenue]]*(0.12+MOD(ROW(),7)/100),2)</f>
        <v>129175.2</v>
      </c>
      <c r="S548" s="7">
        <f t="shared" si="8"/>
        <v>8988</v>
      </c>
      <c r="T548" s="5">
        <f>tbl_financials[[#This Row],[Gross_Profit]]-tbl_financials[[#This Row],[Operating_Expenses]]+tbl_financials[[#This Row],[Other_Income]]</f>
        <v>-71257.2</v>
      </c>
      <c r="U548" s="11">
        <f>IF(tbl_financials[[#This Row],[Revenue]]=0,0,tbl_financials[[#This Row],[Net_Profit]]/tbl_financials[[#This Row],[Revenue]])</f>
        <v>-7.7228508258551168E-2</v>
      </c>
      <c r="V548" s="11" t="str">
        <f>tbl_financials[[#This Row],[Month_Name]] &amp; "_" &amp; tbl_financials[[#This Row],[Year]]</f>
        <v>January_2014</v>
      </c>
      <c r="W548" s="11" t="str">
        <f>tbl_financials[[#This Row],[Month_Name]] &amp; "_" &amp; (tbl_financials[[#This Row],[Year]]-1)</f>
        <v>January_2013</v>
      </c>
      <c r="X54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49" spans="1:24" x14ac:dyDescent="0.3">
      <c r="A549" t="s">
        <v>7</v>
      </c>
      <c r="B549" t="s">
        <v>17</v>
      </c>
      <c r="C549" t="s">
        <v>34</v>
      </c>
      <c r="D549" t="s">
        <v>41</v>
      </c>
      <c r="E549" s="9">
        <v>886</v>
      </c>
      <c r="F549" s="7">
        <v>10</v>
      </c>
      <c r="G549" s="7">
        <v>350</v>
      </c>
      <c r="H549" s="7">
        <v>310100</v>
      </c>
      <c r="I549" s="5">
        <v>37212</v>
      </c>
      <c r="J549" s="5">
        <v>272888</v>
      </c>
      <c r="K549" s="7">
        <v>230360</v>
      </c>
      <c r="L549" s="5">
        <v>42528</v>
      </c>
      <c r="M549" s="1">
        <v>41791</v>
      </c>
      <c r="N549">
        <v>6</v>
      </c>
      <c r="O549" t="s">
        <v>23</v>
      </c>
      <c r="P549" t="s">
        <v>12</v>
      </c>
      <c r="Q549" s="5">
        <f>tbl_financials[[#This Row],[Net_Sales]]</f>
        <v>272888</v>
      </c>
      <c r="R549" s="5">
        <f>ROUND(tbl_financials[[#This Row],[Revenue]]*(0.12+MOD(ROW(),7)/100),2)</f>
        <v>40933.199999999997</v>
      </c>
      <c r="S549" s="7">
        <f t="shared" si="8"/>
        <v>9019</v>
      </c>
      <c r="T549" s="5">
        <f>tbl_financials[[#This Row],[Gross_Profit]]-tbl_financials[[#This Row],[Operating_Expenses]]+tbl_financials[[#This Row],[Other_Income]]</f>
        <v>10613.800000000003</v>
      </c>
      <c r="U549" s="11">
        <f>IF(tbl_financials[[#This Row],[Revenue]]=0,0,tbl_financials[[#This Row],[Net_Profit]]/tbl_financials[[#This Row],[Revenue]])</f>
        <v>3.8894344932719663E-2</v>
      </c>
      <c r="V549" s="11" t="str">
        <f>tbl_financials[[#This Row],[Month_Name]] &amp; "_" &amp; tbl_financials[[#This Row],[Year]]</f>
        <v>June_2014</v>
      </c>
      <c r="W549" s="11" t="str">
        <f>tbl_financials[[#This Row],[Month_Name]] &amp; "_" &amp; (tbl_financials[[#This Row],[Year]]-1)</f>
        <v>June_2013</v>
      </c>
      <c r="X54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50" spans="1:24" x14ac:dyDescent="0.3">
      <c r="A550" t="s">
        <v>6</v>
      </c>
      <c r="B550" t="s">
        <v>17</v>
      </c>
      <c r="C550" t="s">
        <v>34</v>
      </c>
      <c r="D550" t="s">
        <v>41</v>
      </c>
      <c r="E550" s="9">
        <v>2156</v>
      </c>
      <c r="F550" s="7">
        <v>10</v>
      </c>
      <c r="G550" s="7">
        <v>125</v>
      </c>
      <c r="H550" s="7">
        <v>269500</v>
      </c>
      <c r="I550" s="5">
        <v>32340</v>
      </c>
      <c r="J550" s="5">
        <v>237160</v>
      </c>
      <c r="K550" s="7">
        <v>258720</v>
      </c>
      <c r="L550" s="5">
        <v>-21560</v>
      </c>
      <c r="M550" s="1">
        <v>41913</v>
      </c>
      <c r="N550">
        <v>10</v>
      </c>
      <c r="O550" t="s">
        <v>27</v>
      </c>
      <c r="P550" t="s">
        <v>12</v>
      </c>
      <c r="Q550" s="5">
        <f>tbl_financials[[#This Row],[Net_Sales]]</f>
        <v>237160</v>
      </c>
      <c r="R550" s="5">
        <f>ROUND(tbl_financials[[#This Row],[Revenue]]*(0.12+MOD(ROW(),7)/100),2)</f>
        <v>37945.599999999999</v>
      </c>
      <c r="S550" s="7">
        <f t="shared" si="8"/>
        <v>9050</v>
      </c>
      <c r="T550" s="5">
        <f>tbl_financials[[#This Row],[Gross_Profit]]-tbl_financials[[#This Row],[Operating_Expenses]]+tbl_financials[[#This Row],[Other_Income]]</f>
        <v>-50455.6</v>
      </c>
      <c r="U550" s="11">
        <f>IF(tbl_financials[[#This Row],[Revenue]]=0,0,tbl_financials[[#This Row],[Net_Profit]]/tbl_financials[[#This Row],[Revenue]])</f>
        <v>-0.21274919885309496</v>
      </c>
      <c r="V550" s="11" t="str">
        <f>tbl_financials[[#This Row],[Month_Name]] &amp; "_" &amp; tbl_financials[[#This Row],[Year]]</f>
        <v>October_2014</v>
      </c>
      <c r="W550" s="11" t="str">
        <f>tbl_financials[[#This Row],[Month_Name]] &amp; "_" &amp; (tbl_financials[[#This Row],[Year]]-1)</f>
        <v>October_2013</v>
      </c>
      <c r="X55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4.4993623188405794</v>
      </c>
    </row>
    <row r="551" spans="1:24" x14ac:dyDescent="0.3">
      <c r="A551" t="s">
        <v>7</v>
      </c>
      <c r="B551" t="s">
        <v>17</v>
      </c>
      <c r="C551" t="s">
        <v>34</v>
      </c>
      <c r="D551" t="s">
        <v>41</v>
      </c>
      <c r="E551" s="9">
        <v>905</v>
      </c>
      <c r="F551" s="7">
        <v>10</v>
      </c>
      <c r="G551" s="7">
        <v>20</v>
      </c>
      <c r="H551" s="7">
        <v>18100</v>
      </c>
      <c r="I551" s="5">
        <v>2172</v>
      </c>
      <c r="J551" s="5">
        <v>15928</v>
      </c>
      <c r="K551" s="7">
        <v>9050</v>
      </c>
      <c r="L551" s="5">
        <v>6878</v>
      </c>
      <c r="M551" s="1">
        <v>41913</v>
      </c>
      <c r="N551">
        <v>10</v>
      </c>
      <c r="O551" t="s">
        <v>27</v>
      </c>
      <c r="P551" t="s">
        <v>12</v>
      </c>
      <c r="Q551" s="5">
        <f>tbl_financials[[#This Row],[Net_Sales]]</f>
        <v>15928</v>
      </c>
      <c r="R551" s="5">
        <f>ROUND(tbl_financials[[#This Row],[Revenue]]*(0.12+MOD(ROW(),7)/100),2)</f>
        <v>2707.76</v>
      </c>
      <c r="S551" s="7">
        <f t="shared" si="8"/>
        <v>9081</v>
      </c>
      <c r="T551" s="5">
        <f>tbl_financials[[#This Row],[Gross_Profit]]-tbl_financials[[#This Row],[Operating_Expenses]]+tbl_financials[[#This Row],[Other_Income]]</f>
        <v>13251.24</v>
      </c>
      <c r="U551" s="11">
        <f>IF(tbl_financials[[#This Row],[Revenue]]=0,0,tbl_financials[[#This Row],[Net_Profit]]/tbl_financials[[#This Row],[Revenue]])</f>
        <v>0.83194625816172774</v>
      </c>
      <c r="V551" s="11" t="str">
        <f>tbl_financials[[#This Row],[Month_Name]] &amp; "_" &amp; tbl_financials[[#This Row],[Year]]</f>
        <v>October_2014</v>
      </c>
      <c r="W551" s="11" t="str">
        <f>tbl_financials[[#This Row],[Month_Name]] &amp; "_" &amp; (tbl_financials[[#This Row],[Year]]-1)</f>
        <v>October_2013</v>
      </c>
      <c r="X55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-0.63065507246376806</v>
      </c>
    </row>
    <row r="552" spans="1:24" x14ac:dyDescent="0.3">
      <c r="A552" t="s">
        <v>7</v>
      </c>
      <c r="B552" t="s">
        <v>17</v>
      </c>
      <c r="C552" t="s">
        <v>34</v>
      </c>
      <c r="D552" t="s">
        <v>41</v>
      </c>
      <c r="E552" s="9">
        <v>1715</v>
      </c>
      <c r="F552" s="7">
        <v>10</v>
      </c>
      <c r="G552" s="7">
        <v>20</v>
      </c>
      <c r="H552" s="7">
        <v>34300</v>
      </c>
      <c r="I552" s="5">
        <v>4116</v>
      </c>
      <c r="J552" s="5">
        <v>30184</v>
      </c>
      <c r="K552" s="7">
        <v>17150</v>
      </c>
      <c r="L552" s="5">
        <v>13034</v>
      </c>
      <c r="M552" s="1">
        <v>41548</v>
      </c>
      <c r="N552">
        <v>10</v>
      </c>
      <c r="O552" t="s">
        <v>27</v>
      </c>
      <c r="P552" t="s">
        <v>11</v>
      </c>
      <c r="Q552" s="5">
        <f>tbl_financials[[#This Row],[Net_Sales]]</f>
        <v>30184</v>
      </c>
      <c r="R552" s="5">
        <f>ROUND(tbl_financials[[#This Row],[Revenue]]*(0.12+MOD(ROW(),7)/100),2)</f>
        <v>5433.12</v>
      </c>
      <c r="S552" s="7">
        <f t="shared" si="8"/>
        <v>9112</v>
      </c>
      <c r="T552" s="5">
        <f>tbl_financials[[#This Row],[Gross_Profit]]-tbl_financials[[#This Row],[Operating_Expenses]]+tbl_financials[[#This Row],[Other_Income]]</f>
        <v>16712.88</v>
      </c>
      <c r="U552" s="11">
        <f>IF(tbl_financials[[#This Row],[Revenue]]=0,0,tbl_financials[[#This Row],[Net_Profit]]/tbl_financials[[#This Row],[Revenue]])</f>
        <v>0.55369997349589195</v>
      </c>
      <c r="V552" s="11" t="str">
        <f>tbl_financials[[#This Row],[Month_Name]] &amp; "_" &amp; tbl_financials[[#This Row],[Year]]</f>
        <v>October_2013</v>
      </c>
      <c r="W552" s="11" t="str">
        <f>tbl_financials[[#This Row],[Month_Name]] &amp; "_" &amp; (tbl_financials[[#This Row],[Year]]-1)</f>
        <v>October_2012</v>
      </c>
      <c r="X55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53" spans="1:24" x14ac:dyDescent="0.3">
      <c r="A553" t="s">
        <v>7</v>
      </c>
      <c r="B553" t="s">
        <v>15</v>
      </c>
      <c r="C553" t="s">
        <v>34</v>
      </c>
      <c r="D553" t="s">
        <v>41</v>
      </c>
      <c r="E553" s="9">
        <v>1594</v>
      </c>
      <c r="F553" s="7">
        <v>10</v>
      </c>
      <c r="G553" s="7">
        <v>350</v>
      </c>
      <c r="H553" s="7">
        <v>557900</v>
      </c>
      <c r="I553" s="5">
        <v>66948</v>
      </c>
      <c r="J553" s="5">
        <v>490952</v>
      </c>
      <c r="K553" s="7">
        <v>414440</v>
      </c>
      <c r="L553" s="5">
        <v>76512</v>
      </c>
      <c r="M553" s="1">
        <v>41944</v>
      </c>
      <c r="N553">
        <v>11</v>
      </c>
      <c r="O553" t="s">
        <v>28</v>
      </c>
      <c r="P553" t="s">
        <v>12</v>
      </c>
      <c r="Q553" s="5">
        <f>tbl_financials[[#This Row],[Net_Sales]]</f>
        <v>490952</v>
      </c>
      <c r="R553" s="5">
        <f>ROUND(tbl_financials[[#This Row],[Revenue]]*(0.12+MOD(ROW(),7)/100),2)</f>
        <v>58914.239999999998</v>
      </c>
      <c r="S553" s="7">
        <f t="shared" si="8"/>
        <v>9143</v>
      </c>
      <c r="T553" s="5">
        <f>tbl_financials[[#This Row],[Gross_Profit]]-tbl_financials[[#This Row],[Operating_Expenses]]+tbl_financials[[#This Row],[Other_Income]]</f>
        <v>26740.760000000002</v>
      </c>
      <c r="U553" s="11">
        <f>IF(tbl_financials[[#This Row],[Revenue]]=0,0,tbl_financials[[#This Row],[Net_Profit]]/tbl_financials[[#This Row],[Revenue]])</f>
        <v>5.4467157685476386E-2</v>
      </c>
      <c r="V553" s="11" t="str">
        <f>tbl_financials[[#This Row],[Month_Name]] &amp; "_" &amp; tbl_financials[[#This Row],[Year]]</f>
        <v>November_2014</v>
      </c>
      <c r="W553" s="11" t="str">
        <f>tbl_financials[[#This Row],[Month_Name]] &amp; "_" &amp; (tbl_financials[[#This Row],[Year]]-1)</f>
        <v>November_2013</v>
      </c>
      <c r="X55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-0.18682898550724639</v>
      </c>
    </row>
    <row r="554" spans="1:24" x14ac:dyDescent="0.3">
      <c r="A554" t="s">
        <v>4</v>
      </c>
      <c r="B554" t="s">
        <v>16</v>
      </c>
      <c r="C554" t="s">
        <v>34</v>
      </c>
      <c r="D554" t="s">
        <v>41</v>
      </c>
      <c r="E554" s="9">
        <v>1359</v>
      </c>
      <c r="F554" s="7">
        <v>10</v>
      </c>
      <c r="G554" s="7">
        <v>300</v>
      </c>
      <c r="H554" s="7">
        <v>407700</v>
      </c>
      <c r="I554" s="5">
        <v>48924</v>
      </c>
      <c r="J554" s="5">
        <v>358776</v>
      </c>
      <c r="K554" s="7">
        <v>339750</v>
      </c>
      <c r="L554" s="5">
        <v>19026</v>
      </c>
      <c r="M554" s="1">
        <v>41944</v>
      </c>
      <c r="N554">
        <v>11</v>
      </c>
      <c r="O554" t="s">
        <v>28</v>
      </c>
      <c r="P554" t="s">
        <v>12</v>
      </c>
      <c r="Q554" s="5">
        <f>tbl_financials[[#This Row],[Net_Sales]]</f>
        <v>358776</v>
      </c>
      <c r="R554" s="5">
        <f>ROUND(tbl_financials[[#This Row],[Revenue]]*(0.12+MOD(ROW(),7)/100),2)</f>
        <v>46640.88</v>
      </c>
      <c r="S554" s="7">
        <f t="shared" si="8"/>
        <v>9174</v>
      </c>
      <c r="T554" s="5">
        <f>tbl_financials[[#This Row],[Gross_Profit]]-tbl_financials[[#This Row],[Operating_Expenses]]+tbl_financials[[#This Row],[Other_Income]]</f>
        <v>-18440.879999999997</v>
      </c>
      <c r="U554" s="11">
        <f>IF(tbl_financials[[#This Row],[Revenue]]=0,0,tbl_financials[[#This Row],[Net_Profit]]/tbl_financials[[#This Row],[Revenue]])</f>
        <v>-5.1399424710682984E-2</v>
      </c>
      <c r="V554" s="11" t="str">
        <f>tbl_financials[[#This Row],[Month_Name]] &amp; "_" &amp; tbl_financials[[#This Row],[Year]]</f>
        <v>November_2014</v>
      </c>
      <c r="W554" s="11" t="str">
        <f>tbl_financials[[#This Row],[Month_Name]] &amp; "_" &amp; (tbl_financials[[#This Row],[Year]]-1)</f>
        <v>November_2013</v>
      </c>
      <c r="X55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-0.40575403726708076</v>
      </c>
    </row>
    <row r="555" spans="1:24" x14ac:dyDescent="0.3">
      <c r="A555" t="s">
        <v>4</v>
      </c>
      <c r="B555" t="s">
        <v>17</v>
      </c>
      <c r="C555" t="s">
        <v>34</v>
      </c>
      <c r="D555" t="s">
        <v>41</v>
      </c>
      <c r="E555" s="9">
        <v>2150</v>
      </c>
      <c r="F555" s="7">
        <v>10</v>
      </c>
      <c r="G555" s="7">
        <v>300</v>
      </c>
      <c r="H555" s="7">
        <v>645000</v>
      </c>
      <c r="I555" s="5">
        <v>77400</v>
      </c>
      <c r="J555" s="5">
        <v>567600</v>
      </c>
      <c r="K555" s="7">
        <v>537500</v>
      </c>
      <c r="L555" s="5">
        <v>30100</v>
      </c>
      <c r="M555" s="1">
        <v>41944</v>
      </c>
      <c r="N555">
        <v>11</v>
      </c>
      <c r="O555" t="s">
        <v>28</v>
      </c>
      <c r="P555" t="s">
        <v>12</v>
      </c>
      <c r="Q555" s="5">
        <f>tbl_financials[[#This Row],[Net_Sales]]</f>
        <v>567600</v>
      </c>
      <c r="R555" s="5">
        <f>ROUND(tbl_financials[[#This Row],[Revenue]]*(0.12+MOD(ROW(),7)/100),2)</f>
        <v>79464</v>
      </c>
      <c r="S555" s="7">
        <f t="shared" si="8"/>
        <v>9205</v>
      </c>
      <c r="T555" s="5">
        <f>tbl_financials[[#This Row],[Gross_Profit]]-tbl_financials[[#This Row],[Operating_Expenses]]+tbl_financials[[#This Row],[Other_Income]]</f>
        <v>-40159</v>
      </c>
      <c r="U555" s="11">
        <f>IF(tbl_financials[[#This Row],[Revenue]]=0,0,tbl_financials[[#This Row],[Net_Profit]]/tbl_financials[[#This Row],[Revenue]])</f>
        <v>-7.0752290345313607E-2</v>
      </c>
      <c r="V555" s="11" t="str">
        <f>tbl_financials[[#This Row],[Month_Name]] &amp; "_" &amp; tbl_financials[[#This Row],[Year]]</f>
        <v>November_2014</v>
      </c>
      <c r="W555" s="11" t="str">
        <f>tbl_financials[[#This Row],[Month_Name]] &amp; "_" &amp; (tbl_financials[[#This Row],[Year]]-1)</f>
        <v>November_2013</v>
      </c>
      <c r="X55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-5.9875776397515526E-2</v>
      </c>
    </row>
    <row r="556" spans="1:24" x14ac:dyDescent="0.3">
      <c r="A556" t="s">
        <v>7</v>
      </c>
      <c r="B556" t="s">
        <v>17</v>
      </c>
      <c r="C556" t="s">
        <v>34</v>
      </c>
      <c r="D556" t="s">
        <v>41</v>
      </c>
      <c r="E556" s="9">
        <v>1197</v>
      </c>
      <c r="F556" s="7">
        <v>10</v>
      </c>
      <c r="G556" s="7">
        <v>350</v>
      </c>
      <c r="H556" s="7">
        <v>418950</v>
      </c>
      <c r="I556" s="5">
        <v>50274</v>
      </c>
      <c r="J556" s="5">
        <v>368676</v>
      </c>
      <c r="K556" s="7">
        <v>311220</v>
      </c>
      <c r="L556" s="5">
        <v>57456</v>
      </c>
      <c r="M556" s="1">
        <v>41944</v>
      </c>
      <c r="N556">
        <v>11</v>
      </c>
      <c r="O556" t="s">
        <v>28</v>
      </c>
      <c r="P556" t="s">
        <v>12</v>
      </c>
      <c r="Q556" s="5">
        <f>tbl_financials[[#This Row],[Net_Sales]]</f>
        <v>368676</v>
      </c>
      <c r="R556" s="5">
        <f>ROUND(tbl_financials[[#This Row],[Revenue]]*(0.12+MOD(ROW(),7)/100),2)</f>
        <v>55301.4</v>
      </c>
      <c r="S556" s="7">
        <f t="shared" si="8"/>
        <v>9236</v>
      </c>
      <c r="T556" s="5">
        <f>tbl_financials[[#This Row],[Gross_Profit]]-tbl_financials[[#This Row],[Operating_Expenses]]+tbl_financials[[#This Row],[Other_Income]]</f>
        <v>11390.599999999999</v>
      </c>
      <c r="U556" s="11">
        <f>IF(tbl_financials[[#This Row],[Revenue]]=0,0,tbl_financials[[#This Row],[Net_Profit]]/tbl_financials[[#This Row],[Revenue]])</f>
        <v>3.0895962850850067E-2</v>
      </c>
      <c r="V556" s="11" t="str">
        <f>tbl_financials[[#This Row],[Month_Name]] &amp; "_" &amp; tbl_financials[[#This Row],[Year]]</f>
        <v>November_2014</v>
      </c>
      <c r="W556" s="11" t="str">
        <f>tbl_financials[[#This Row],[Month_Name]] &amp; "_" &amp; (tbl_financials[[#This Row],[Year]]-1)</f>
        <v>November_2013</v>
      </c>
      <c r="X55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-0.38935652173913043</v>
      </c>
    </row>
    <row r="557" spans="1:24" x14ac:dyDescent="0.3">
      <c r="A557" t="s">
        <v>5</v>
      </c>
      <c r="B557" t="s">
        <v>17</v>
      </c>
      <c r="C557" t="s">
        <v>34</v>
      </c>
      <c r="D557" t="s">
        <v>41</v>
      </c>
      <c r="E557" s="9">
        <v>380</v>
      </c>
      <c r="F557" s="7">
        <v>10</v>
      </c>
      <c r="G557" s="7">
        <v>15</v>
      </c>
      <c r="H557" s="7">
        <v>5700</v>
      </c>
      <c r="I557" s="5">
        <v>684</v>
      </c>
      <c r="J557" s="5">
        <v>5016</v>
      </c>
      <c r="K557" s="7">
        <v>3800</v>
      </c>
      <c r="L557" s="5">
        <v>1216</v>
      </c>
      <c r="M557" s="1">
        <v>41609</v>
      </c>
      <c r="N557">
        <v>12</v>
      </c>
      <c r="O557" t="s">
        <v>29</v>
      </c>
      <c r="P557" t="s">
        <v>11</v>
      </c>
      <c r="Q557" s="5">
        <f>tbl_financials[[#This Row],[Net_Sales]]</f>
        <v>5016</v>
      </c>
      <c r="R557" s="5">
        <f>ROUND(tbl_financials[[#This Row],[Revenue]]*(0.12+MOD(ROW(),7)/100),2)</f>
        <v>802.56</v>
      </c>
      <c r="S557" s="7">
        <f t="shared" si="8"/>
        <v>9267</v>
      </c>
      <c r="T557" s="5">
        <f>tbl_financials[[#This Row],[Gross_Profit]]-tbl_financials[[#This Row],[Operating_Expenses]]+tbl_financials[[#This Row],[Other_Income]]</f>
        <v>9680.44</v>
      </c>
      <c r="U557" s="11">
        <f>IF(tbl_financials[[#This Row],[Revenue]]=0,0,tbl_financials[[#This Row],[Net_Profit]]/tbl_financials[[#This Row],[Revenue]])</f>
        <v>1.9299122807017546</v>
      </c>
      <c r="V557" s="11" t="str">
        <f>tbl_financials[[#This Row],[Month_Name]] &amp; "_" &amp; tbl_financials[[#This Row],[Year]]</f>
        <v>December_2013</v>
      </c>
      <c r="W557" s="11" t="str">
        <f>tbl_financials[[#This Row],[Month_Name]] &amp; "_" &amp; (tbl_financials[[#This Row],[Year]]-1)</f>
        <v>December_2012</v>
      </c>
      <c r="X55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58" spans="1:24" x14ac:dyDescent="0.3">
      <c r="A558" t="s">
        <v>7</v>
      </c>
      <c r="B558" t="s">
        <v>17</v>
      </c>
      <c r="C558" t="s">
        <v>34</v>
      </c>
      <c r="D558" t="s">
        <v>41</v>
      </c>
      <c r="E558" s="9">
        <v>1233</v>
      </c>
      <c r="F558" s="7">
        <v>10</v>
      </c>
      <c r="G558" s="7">
        <v>20</v>
      </c>
      <c r="H558" s="7">
        <v>24660</v>
      </c>
      <c r="I558" s="5">
        <v>2959.2</v>
      </c>
      <c r="J558" s="5">
        <v>21700.799999999999</v>
      </c>
      <c r="K558" s="7">
        <v>12330</v>
      </c>
      <c r="L558" s="5">
        <v>9370.7999999999993</v>
      </c>
      <c r="M558" s="1">
        <v>41974</v>
      </c>
      <c r="N558">
        <v>12</v>
      </c>
      <c r="O558" t="s">
        <v>29</v>
      </c>
      <c r="P558" t="s">
        <v>12</v>
      </c>
      <c r="Q558" s="5">
        <f>tbl_financials[[#This Row],[Net_Sales]]</f>
        <v>21700.799999999999</v>
      </c>
      <c r="R558" s="5">
        <f>ROUND(tbl_financials[[#This Row],[Revenue]]*(0.12+MOD(ROW(),7)/100),2)</f>
        <v>3689.14</v>
      </c>
      <c r="S558" s="7">
        <f t="shared" si="8"/>
        <v>9298</v>
      </c>
      <c r="T558" s="5">
        <f>tbl_financials[[#This Row],[Gross_Profit]]-tbl_financials[[#This Row],[Operating_Expenses]]+tbl_financials[[#This Row],[Other_Income]]</f>
        <v>14979.66</v>
      </c>
      <c r="U558" s="11">
        <f>IF(tbl_financials[[#This Row],[Revenue]]=0,0,tbl_financials[[#This Row],[Net_Profit]]/tbl_financials[[#This Row],[Revenue]])</f>
        <v>0.69028146427781467</v>
      </c>
      <c r="V558" s="11" t="str">
        <f>tbl_financials[[#This Row],[Month_Name]] &amp; "_" &amp; tbl_financials[[#This Row],[Year]]</f>
        <v>December_2014</v>
      </c>
      <c r="W558" s="11" t="str">
        <f>tbl_financials[[#This Row],[Month_Name]] &amp; "_" &amp; (tbl_financials[[#This Row],[Year]]-1)</f>
        <v>December_2013</v>
      </c>
      <c r="X55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-0.32773234200743495</v>
      </c>
    </row>
    <row r="559" spans="1:24" x14ac:dyDescent="0.3">
      <c r="A559" t="s">
        <v>7</v>
      </c>
      <c r="B559" t="s">
        <v>17</v>
      </c>
      <c r="C559" t="s">
        <v>35</v>
      </c>
      <c r="D559" t="s">
        <v>41</v>
      </c>
      <c r="E559" s="9">
        <v>1395</v>
      </c>
      <c r="F559" s="7">
        <v>120</v>
      </c>
      <c r="G559" s="7">
        <v>350</v>
      </c>
      <c r="H559" s="7">
        <v>488250</v>
      </c>
      <c r="I559" s="5">
        <v>58590</v>
      </c>
      <c r="J559" s="5">
        <v>429660</v>
      </c>
      <c r="K559" s="7">
        <v>362700</v>
      </c>
      <c r="L559" s="5">
        <v>66960</v>
      </c>
      <c r="M559" s="1">
        <v>41821</v>
      </c>
      <c r="N559">
        <v>7</v>
      </c>
      <c r="O559" t="s">
        <v>24</v>
      </c>
      <c r="P559" t="s">
        <v>12</v>
      </c>
      <c r="Q559" s="5">
        <f>tbl_financials[[#This Row],[Net_Sales]]</f>
        <v>429660</v>
      </c>
      <c r="R559" s="5">
        <f>ROUND(tbl_financials[[#This Row],[Revenue]]*(0.12+MOD(ROW(),7)/100),2)</f>
        <v>77338.8</v>
      </c>
      <c r="S559" s="7">
        <f t="shared" si="8"/>
        <v>9329</v>
      </c>
      <c r="T559" s="5">
        <f>tbl_financials[[#This Row],[Gross_Profit]]-tbl_financials[[#This Row],[Operating_Expenses]]+tbl_financials[[#This Row],[Other_Income]]</f>
        <v>-1049.8000000000029</v>
      </c>
      <c r="U559" s="11">
        <f>IF(tbl_financials[[#This Row],[Revenue]]=0,0,tbl_financials[[#This Row],[Net_Profit]]/tbl_financials[[#This Row],[Revenue]])</f>
        <v>-2.4433272820369662E-3</v>
      </c>
      <c r="V559" s="11" t="str">
        <f>tbl_financials[[#This Row],[Month_Name]] &amp; "_" &amp; tbl_financials[[#This Row],[Year]]</f>
        <v>July_2014</v>
      </c>
      <c r="W559" s="11" t="str">
        <f>tbl_financials[[#This Row],[Month_Name]] &amp; "_" &amp; (tbl_financials[[#This Row],[Year]]-1)</f>
        <v>July_2013</v>
      </c>
      <c r="X55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60" spans="1:24" x14ac:dyDescent="0.3">
      <c r="A560" t="s">
        <v>7</v>
      </c>
      <c r="B560" t="s">
        <v>14</v>
      </c>
      <c r="C560" t="s">
        <v>35</v>
      </c>
      <c r="D560" t="s">
        <v>41</v>
      </c>
      <c r="E560" s="9">
        <v>986</v>
      </c>
      <c r="F560" s="7">
        <v>120</v>
      </c>
      <c r="G560" s="7">
        <v>350</v>
      </c>
      <c r="H560" s="7">
        <v>345100</v>
      </c>
      <c r="I560" s="5">
        <v>41412</v>
      </c>
      <c r="J560" s="5">
        <v>303688</v>
      </c>
      <c r="K560" s="7">
        <v>256360</v>
      </c>
      <c r="L560" s="5">
        <v>47328</v>
      </c>
      <c r="M560" s="1">
        <v>41913</v>
      </c>
      <c r="N560">
        <v>10</v>
      </c>
      <c r="O560" t="s">
        <v>27</v>
      </c>
      <c r="P560" t="s">
        <v>12</v>
      </c>
      <c r="Q560" s="5">
        <f>tbl_financials[[#This Row],[Net_Sales]]</f>
        <v>303688</v>
      </c>
      <c r="R560" s="5">
        <f>ROUND(tbl_financials[[#This Row],[Revenue]]*(0.12+MOD(ROW(),7)/100),2)</f>
        <v>36442.559999999998</v>
      </c>
      <c r="S560" s="7">
        <f t="shared" si="8"/>
        <v>9360</v>
      </c>
      <c r="T560" s="5">
        <f>tbl_financials[[#This Row],[Gross_Profit]]-tbl_financials[[#This Row],[Operating_Expenses]]+tbl_financials[[#This Row],[Other_Income]]</f>
        <v>20245.440000000002</v>
      </c>
      <c r="U560" s="11">
        <f>IF(tbl_financials[[#This Row],[Revenue]]=0,0,tbl_financials[[#This Row],[Net_Profit]]/tbl_financials[[#This Row],[Revenue]])</f>
        <v>6.666526171597166E-2</v>
      </c>
      <c r="V560" s="11" t="str">
        <f>tbl_financials[[#This Row],[Month_Name]] &amp; "_" &amp; tbl_financials[[#This Row],[Year]]</f>
        <v>October_2014</v>
      </c>
      <c r="W560" s="11" t="str">
        <f>tbl_financials[[#This Row],[Month_Name]] &amp; "_" &amp; (tbl_financials[[#This Row],[Year]]-1)</f>
        <v>October_2013</v>
      </c>
      <c r="X56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6.0420405797101449</v>
      </c>
    </row>
    <row r="561" spans="1:24" x14ac:dyDescent="0.3">
      <c r="A561" t="s">
        <v>7</v>
      </c>
      <c r="B561" t="s">
        <v>17</v>
      </c>
      <c r="C561" t="s">
        <v>35</v>
      </c>
      <c r="D561" t="s">
        <v>41</v>
      </c>
      <c r="E561" s="9">
        <v>905</v>
      </c>
      <c r="F561" s="7">
        <v>120</v>
      </c>
      <c r="G561" s="7">
        <v>20</v>
      </c>
      <c r="H561" s="7">
        <v>18100</v>
      </c>
      <c r="I561" s="5">
        <v>2172</v>
      </c>
      <c r="J561" s="5">
        <v>15928</v>
      </c>
      <c r="K561" s="7">
        <v>9050</v>
      </c>
      <c r="L561" s="5">
        <v>6878</v>
      </c>
      <c r="M561" s="1">
        <v>41913</v>
      </c>
      <c r="N561">
        <v>10</v>
      </c>
      <c r="O561" t="s">
        <v>27</v>
      </c>
      <c r="P561" t="s">
        <v>12</v>
      </c>
      <c r="Q561" s="5">
        <f>tbl_financials[[#This Row],[Net_Sales]]</f>
        <v>15928</v>
      </c>
      <c r="R561" s="5">
        <f>ROUND(tbl_financials[[#This Row],[Revenue]]*(0.12+MOD(ROW(),7)/100),2)</f>
        <v>2070.64</v>
      </c>
      <c r="S561" s="7">
        <f t="shared" si="8"/>
        <v>9391</v>
      </c>
      <c r="T561" s="5">
        <f>tbl_financials[[#This Row],[Gross_Profit]]-tbl_financials[[#This Row],[Operating_Expenses]]+tbl_financials[[#This Row],[Other_Income]]</f>
        <v>14198.36</v>
      </c>
      <c r="U561" s="11">
        <f>IF(tbl_financials[[#This Row],[Revenue]]=0,0,tbl_financials[[#This Row],[Net_Profit]]/tbl_financials[[#This Row],[Revenue]])</f>
        <v>0.89140883977900554</v>
      </c>
      <c r="V561" s="11" t="str">
        <f>tbl_financials[[#This Row],[Month_Name]] &amp; "_" &amp; tbl_financials[[#This Row],[Year]]</f>
        <v>October_2014</v>
      </c>
      <c r="W561" s="11" t="str">
        <f>tbl_financials[[#This Row],[Month_Name]] &amp; "_" &amp; (tbl_financials[[#This Row],[Year]]-1)</f>
        <v>October_2013</v>
      </c>
      <c r="X56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-0.63065507246376806</v>
      </c>
    </row>
    <row r="562" spans="1:24" x14ac:dyDescent="0.3">
      <c r="A562" t="s">
        <v>8</v>
      </c>
      <c r="B562" t="s">
        <v>13</v>
      </c>
      <c r="C562" t="s">
        <v>36</v>
      </c>
      <c r="D562" t="s">
        <v>41</v>
      </c>
      <c r="E562" s="9">
        <v>2109</v>
      </c>
      <c r="F562" s="7">
        <v>250</v>
      </c>
      <c r="G562" s="7">
        <v>12</v>
      </c>
      <c r="H562" s="7">
        <v>25308</v>
      </c>
      <c r="I562" s="5">
        <v>3036.96</v>
      </c>
      <c r="J562" s="5">
        <v>22271.040000000001</v>
      </c>
      <c r="K562" s="7">
        <v>6327</v>
      </c>
      <c r="L562" s="5">
        <v>15944.04</v>
      </c>
      <c r="M562" s="1">
        <v>41760</v>
      </c>
      <c r="N562">
        <v>5</v>
      </c>
      <c r="O562" t="s">
        <v>22</v>
      </c>
      <c r="P562" t="s">
        <v>12</v>
      </c>
      <c r="Q562" s="5">
        <f>tbl_financials[[#This Row],[Net_Sales]]</f>
        <v>22271.040000000001</v>
      </c>
      <c r="R562" s="5">
        <f>ROUND(tbl_financials[[#This Row],[Revenue]]*(0.12+MOD(ROW(),7)/100),2)</f>
        <v>3117.95</v>
      </c>
      <c r="S562" s="7">
        <f t="shared" si="8"/>
        <v>9422</v>
      </c>
      <c r="T562" s="5">
        <f>tbl_financials[[#This Row],[Gross_Profit]]-tbl_financials[[#This Row],[Operating_Expenses]]+tbl_financials[[#This Row],[Other_Income]]</f>
        <v>22248.09</v>
      </c>
      <c r="U562" s="11">
        <f>IF(tbl_financials[[#This Row],[Revenue]]=0,0,tbl_financials[[#This Row],[Net_Profit]]/tbl_financials[[#This Row],[Revenue]])</f>
        <v>0.99896951377214527</v>
      </c>
      <c r="V562" s="11" t="str">
        <f>tbl_financials[[#This Row],[Month_Name]] &amp; "_" &amp; tbl_financials[[#This Row],[Year]]</f>
        <v>May_2014</v>
      </c>
      <c r="W562" s="11" t="str">
        <f>tbl_financials[[#This Row],[Month_Name]] &amp; "_" &amp; (tbl_financials[[#This Row],[Year]]-1)</f>
        <v>May_2013</v>
      </c>
      <c r="X56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63" spans="1:24" x14ac:dyDescent="0.3">
      <c r="A563" t="s">
        <v>5</v>
      </c>
      <c r="B563" t="s">
        <v>15</v>
      </c>
      <c r="C563" t="s">
        <v>36</v>
      </c>
      <c r="D563" t="s">
        <v>41</v>
      </c>
      <c r="E563" s="9">
        <v>3874.5</v>
      </c>
      <c r="F563" s="7">
        <v>250</v>
      </c>
      <c r="G563" s="7">
        <v>15</v>
      </c>
      <c r="H563" s="7">
        <v>58117.5</v>
      </c>
      <c r="I563" s="5">
        <v>6974.0999999999904</v>
      </c>
      <c r="J563" s="5">
        <v>51143.3999999999</v>
      </c>
      <c r="K563" s="7">
        <v>38745</v>
      </c>
      <c r="L563" s="5">
        <v>12398.3999999999</v>
      </c>
      <c r="M563" s="1">
        <v>41821</v>
      </c>
      <c r="N563">
        <v>7</v>
      </c>
      <c r="O563" t="s">
        <v>24</v>
      </c>
      <c r="P563" t="s">
        <v>12</v>
      </c>
      <c r="Q563" s="5">
        <f>tbl_financials[[#This Row],[Net_Sales]]</f>
        <v>51143.3999999999</v>
      </c>
      <c r="R563" s="5">
        <f>ROUND(tbl_financials[[#This Row],[Revenue]]*(0.12+MOD(ROW(),7)/100),2)</f>
        <v>7671.51</v>
      </c>
      <c r="S563" s="7">
        <f t="shared" si="8"/>
        <v>9453</v>
      </c>
      <c r="T563" s="5">
        <f>tbl_financials[[#This Row],[Gross_Profit]]-tbl_financials[[#This Row],[Operating_Expenses]]+tbl_financials[[#This Row],[Other_Income]]</f>
        <v>14179.889999999899</v>
      </c>
      <c r="U563" s="11">
        <f>IF(tbl_financials[[#This Row],[Revenue]]=0,0,tbl_financials[[#This Row],[Net_Profit]]/tbl_financials[[#This Row],[Revenue]])</f>
        <v>0.27725747603796241</v>
      </c>
      <c r="V563" s="11" t="str">
        <f>tbl_financials[[#This Row],[Month_Name]] &amp; "_" &amp; tbl_financials[[#This Row],[Year]]</f>
        <v>July_2014</v>
      </c>
      <c r="W563" s="11" t="str">
        <f>tbl_financials[[#This Row],[Month_Name]] &amp; "_" &amp; (tbl_financials[[#This Row],[Year]]-1)</f>
        <v>July_2013</v>
      </c>
      <c r="X56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64" spans="1:24" x14ac:dyDescent="0.3">
      <c r="A564" t="s">
        <v>7</v>
      </c>
      <c r="B564" t="s">
        <v>13</v>
      </c>
      <c r="C564" t="s">
        <v>36</v>
      </c>
      <c r="D564" t="s">
        <v>41</v>
      </c>
      <c r="E564" s="9">
        <v>623</v>
      </c>
      <c r="F564" s="7">
        <v>250</v>
      </c>
      <c r="G564" s="7">
        <v>350</v>
      </c>
      <c r="H564" s="7">
        <v>218050</v>
      </c>
      <c r="I564" s="5">
        <v>26166</v>
      </c>
      <c r="J564" s="5">
        <v>191884</v>
      </c>
      <c r="K564" s="7">
        <v>161980</v>
      </c>
      <c r="L564" s="5">
        <v>29904</v>
      </c>
      <c r="M564" s="1">
        <v>41518</v>
      </c>
      <c r="N564">
        <v>9</v>
      </c>
      <c r="O564" t="s">
        <v>26</v>
      </c>
      <c r="P564" t="s">
        <v>11</v>
      </c>
      <c r="Q564" s="5">
        <f>tbl_financials[[#This Row],[Net_Sales]]</f>
        <v>191884</v>
      </c>
      <c r="R564" s="5">
        <f>ROUND(tbl_financials[[#This Row],[Revenue]]*(0.12+MOD(ROW(),7)/100),2)</f>
        <v>30701.439999999999</v>
      </c>
      <c r="S564" s="7">
        <f t="shared" si="8"/>
        <v>9484</v>
      </c>
      <c r="T564" s="5">
        <f>tbl_financials[[#This Row],[Gross_Profit]]-tbl_financials[[#This Row],[Operating_Expenses]]+tbl_financials[[#This Row],[Other_Income]]</f>
        <v>8686.5600000000013</v>
      </c>
      <c r="U564" s="11">
        <f>IF(tbl_financials[[#This Row],[Revenue]]=0,0,tbl_financials[[#This Row],[Net_Profit]]/tbl_financials[[#This Row],[Revenue]])</f>
        <v>4.526985053469805E-2</v>
      </c>
      <c r="V564" s="11" t="str">
        <f>tbl_financials[[#This Row],[Month_Name]] &amp; "_" &amp; tbl_financials[[#This Row],[Year]]</f>
        <v>September_2013</v>
      </c>
      <c r="W564" s="11" t="str">
        <f>tbl_financials[[#This Row],[Month_Name]] &amp; "_" &amp; (tbl_financials[[#This Row],[Year]]-1)</f>
        <v>September_2012</v>
      </c>
      <c r="X56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65" spans="1:24" x14ac:dyDescent="0.3">
      <c r="A565" t="s">
        <v>7</v>
      </c>
      <c r="B565" t="s">
        <v>14</v>
      </c>
      <c r="C565" t="s">
        <v>36</v>
      </c>
      <c r="D565" t="s">
        <v>41</v>
      </c>
      <c r="E565" s="9">
        <v>986</v>
      </c>
      <c r="F565" s="7">
        <v>250</v>
      </c>
      <c r="G565" s="7">
        <v>350</v>
      </c>
      <c r="H565" s="7">
        <v>345100</v>
      </c>
      <c r="I565" s="5">
        <v>41412</v>
      </c>
      <c r="J565" s="5">
        <v>303688</v>
      </c>
      <c r="K565" s="7">
        <v>256360</v>
      </c>
      <c r="L565" s="5">
        <v>47328</v>
      </c>
      <c r="M565" s="1">
        <v>41913</v>
      </c>
      <c r="N565">
        <v>10</v>
      </c>
      <c r="O565" t="s">
        <v>27</v>
      </c>
      <c r="P565" t="s">
        <v>12</v>
      </c>
      <c r="Q565" s="5">
        <f>tbl_financials[[#This Row],[Net_Sales]]</f>
        <v>303688</v>
      </c>
      <c r="R565" s="5">
        <f>ROUND(tbl_financials[[#This Row],[Revenue]]*(0.12+MOD(ROW(),7)/100),2)</f>
        <v>51626.96</v>
      </c>
      <c r="S565" s="7">
        <f t="shared" si="8"/>
        <v>9515</v>
      </c>
      <c r="T565" s="5">
        <f>tbl_financials[[#This Row],[Gross_Profit]]-tbl_financials[[#This Row],[Operating_Expenses]]+tbl_financials[[#This Row],[Other_Income]]</f>
        <v>5216.0400000000009</v>
      </c>
      <c r="U565" s="11">
        <f>IF(tbl_financials[[#This Row],[Revenue]]=0,0,tbl_financials[[#This Row],[Net_Profit]]/tbl_financials[[#This Row],[Revenue]])</f>
        <v>1.717565396064382E-2</v>
      </c>
      <c r="V565" s="11" t="str">
        <f>tbl_financials[[#This Row],[Month_Name]] &amp; "_" &amp; tbl_financials[[#This Row],[Year]]</f>
        <v>October_2014</v>
      </c>
      <c r="W565" s="11" t="str">
        <f>tbl_financials[[#This Row],[Month_Name]] &amp; "_" &amp; (tbl_financials[[#This Row],[Year]]-1)</f>
        <v>October_2013</v>
      </c>
      <c r="X56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6.0420405797101449</v>
      </c>
    </row>
    <row r="566" spans="1:24" x14ac:dyDescent="0.3">
      <c r="A566" t="s">
        <v>6</v>
      </c>
      <c r="B566" t="s">
        <v>14</v>
      </c>
      <c r="C566" t="s">
        <v>36</v>
      </c>
      <c r="D566" t="s">
        <v>41</v>
      </c>
      <c r="E566" s="9">
        <v>2387</v>
      </c>
      <c r="F566" s="7">
        <v>250</v>
      </c>
      <c r="G566" s="7">
        <v>125</v>
      </c>
      <c r="H566" s="7">
        <v>298375</v>
      </c>
      <c r="I566" s="5">
        <v>35805</v>
      </c>
      <c r="J566" s="5">
        <v>262570</v>
      </c>
      <c r="K566" s="7">
        <v>286440</v>
      </c>
      <c r="L566" s="5">
        <v>-23870</v>
      </c>
      <c r="M566" s="1">
        <v>41944</v>
      </c>
      <c r="N566">
        <v>11</v>
      </c>
      <c r="O566" t="s">
        <v>28</v>
      </c>
      <c r="P566" t="s">
        <v>12</v>
      </c>
      <c r="Q566" s="5">
        <f>tbl_financials[[#This Row],[Net_Sales]]</f>
        <v>262570</v>
      </c>
      <c r="R566" s="5">
        <f>ROUND(tbl_financials[[#This Row],[Revenue]]*(0.12+MOD(ROW(),7)/100),2)</f>
        <v>47262.6</v>
      </c>
      <c r="S566" s="7">
        <f t="shared" si="8"/>
        <v>9546</v>
      </c>
      <c r="T566" s="5">
        <f>tbl_financials[[#This Row],[Gross_Profit]]-tbl_financials[[#This Row],[Operating_Expenses]]+tbl_financials[[#This Row],[Other_Income]]</f>
        <v>-61586.600000000006</v>
      </c>
      <c r="U566" s="11">
        <f>IF(tbl_financials[[#This Row],[Revenue]]=0,0,tbl_financials[[#This Row],[Net_Profit]]/tbl_financials[[#This Row],[Revenue]])</f>
        <v>-0.23455307156186925</v>
      </c>
      <c r="V566" s="11" t="str">
        <f>tbl_financials[[#This Row],[Month_Name]] &amp; "_" &amp; tbl_financials[[#This Row],[Year]]</f>
        <v>November_2014</v>
      </c>
      <c r="W566" s="11" t="str">
        <f>tbl_financials[[#This Row],[Month_Name]] &amp; "_" &amp; (tbl_financials[[#This Row],[Year]]-1)</f>
        <v>November_2013</v>
      </c>
      <c r="X56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-0.56510144927536232</v>
      </c>
    </row>
    <row r="567" spans="1:24" x14ac:dyDescent="0.3">
      <c r="A567" t="s">
        <v>7</v>
      </c>
      <c r="B567" t="s">
        <v>17</v>
      </c>
      <c r="C567" t="s">
        <v>36</v>
      </c>
      <c r="D567" t="s">
        <v>41</v>
      </c>
      <c r="E567" s="9">
        <v>1233</v>
      </c>
      <c r="F567" s="7">
        <v>250</v>
      </c>
      <c r="G567" s="7">
        <v>20</v>
      </c>
      <c r="H567" s="7">
        <v>24660</v>
      </c>
      <c r="I567" s="5">
        <v>2959.2</v>
      </c>
      <c r="J567" s="5">
        <v>21700.799999999999</v>
      </c>
      <c r="K567" s="7">
        <v>12330</v>
      </c>
      <c r="L567" s="5">
        <v>9370.7999999999993</v>
      </c>
      <c r="M567" s="1">
        <v>41974</v>
      </c>
      <c r="N567">
        <v>12</v>
      </c>
      <c r="O567" t="s">
        <v>29</v>
      </c>
      <c r="P567" t="s">
        <v>12</v>
      </c>
      <c r="Q567" s="5">
        <f>tbl_financials[[#This Row],[Net_Sales]]</f>
        <v>21700.799999999999</v>
      </c>
      <c r="R567" s="5">
        <f>ROUND(tbl_financials[[#This Row],[Revenue]]*(0.12+MOD(ROW(),7)/100),2)</f>
        <v>2604.1</v>
      </c>
      <c r="S567" s="7">
        <f t="shared" si="8"/>
        <v>9577</v>
      </c>
      <c r="T567" s="5">
        <f>tbl_financials[[#This Row],[Gross_Profit]]-tbl_financials[[#This Row],[Operating_Expenses]]+tbl_financials[[#This Row],[Other_Income]]</f>
        <v>16343.699999999999</v>
      </c>
      <c r="U567" s="11">
        <f>IF(tbl_financials[[#This Row],[Revenue]]=0,0,tbl_financials[[#This Row],[Net_Profit]]/tbl_financials[[#This Row],[Revenue]])</f>
        <v>0.75313813315638134</v>
      </c>
      <c r="V567" s="11" t="str">
        <f>tbl_financials[[#This Row],[Month_Name]] &amp; "_" &amp; tbl_financials[[#This Row],[Year]]</f>
        <v>December_2014</v>
      </c>
      <c r="W567" s="11" t="str">
        <f>tbl_financials[[#This Row],[Month_Name]] &amp; "_" &amp; (tbl_financials[[#This Row],[Year]]-1)</f>
        <v>December_2013</v>
      </c>
      <c r="X56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-0.32773234200743495</v>
      </c>
    </row>
    <row r="568" spans="1:24" x14ac:dyDescent="0.3">
      <c r="A568" t="s">
        <v>7</v>
      </c>
      <c r="B568" t="s">
        <v>14</v>
      </c>
      <c r="C568" t="s">
        <v>37</v>
      </c>
      <c r="D568" t="s">
        <v>41</v>
      </c>
      <c r="E568" s="9">
        <v>270</v>
      </c>
      <c r="F568" s="7">
        <v>260</v>
      </c>
      <c r="G568" s="7">
        <v>350</v>
      </c>
      <c r="H568" s="7">
        <v>94500</v>
      </c>
      <c r="I568" s="5">
        <v>11340</v>
      </c>
      <c r="J568" s="5">
        <v>83160</v>
      </c>
      <c r="K568" s="7">
        <v>70200</v>
      </c>
      <c r="L568" s="5">
        <v>12960</v>
      </c>
      <c r="M568" s="1">
        <v>41671</v>
      </c>
      <c r="N568">
        <v>2</v>
      </c>
      <c r="O568" t="s">
        <v>19</v>
      </c>
      <c r="P568" t="s">
        <v>12</v>
      </c>
      <c r="Q568" s="5">
        <f>tbl_financials[[#This Row],[Net_Sales]]</f>
        <v>83160</v>
      </c>
      <c r="R568" s="5">
        <f>ROUND(tbl_financials[[#This Row],[Revenue]]*(0.12+MOD(ROW(),7)/100),2)</f>
        <v>10810.8</v>
      </c>
      <c r="S568" s="7">
        <f t="shared" si="8"/>
        <v>9608</v>
      </c>
      <c r="T568" s="5">
        <f>tbl_financials[[#This Row],[Gross_Profit]]-tbl_financials[[#This Row],[Operating_Expenses]]+tbl_financials[[#This Row],[Other_Income]]</f>
        <v>11757.2</v>
      </c>
      <c r="U568" s="11">
        <f>IF(tbl_financials[[#This Row],[Revenue]]=0,0,tbl_financials[[#This Row],[Net_Profit]]/tbl_financials[[#This Row],[Revenue]])</f>
        <v>0.14138047138047138</v>
      </c>
      <c r="V568" s="11" t="str">
        <f>tbl_financials[[#This Row],[Month_Name]] &amp; "_" &amp; tbl_financials[[#This Row],[Year]]</f>
        <v>February_2014</v>
      </c>
      <c r="W568" s="11" t="str">
        <f>tbl_financials[[#This Row],[Month_Name]] &amp; "_" &amp; (tbl_financials[[#This Row],[Year]]-1)</f>
        <v>February_2013</v>
      </c>
      <c r="X56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69" spans="1:24" x14ac:dyDescent="0.3">
      <c r="A569" t="s">
        <v>7</v>
      </c>
      <c r="B569" t="s">
        <v>15</v>
      </c>
      <c r="C569" t="s">
        <v>37</v>
      </c>
      <c r="D569" t="s">
        <v>41</v>
      </c>
      <c r="E569" s="9">
        <v>3421.5</v>
      </c>
      <c r="F569" s="7">
        <v>260</v>
      </c>
      <c r="G569" s="7">
        <v>7</v>
      </c>
      <c r="H569" s="7">
        <v>23950.5</v>
      </c>
      <c r="I569" s="5">
        <v>2874.06</v>
      </c>
      <c r="J569" s="5">
        <v>21076.44</v>
      </c>
      <c r="K569" s="7">
        <v>17107.5</v>
      </c>
      <c r="L569" s="5">
        <v>3968.9399999999901</v>
      </c>
      <c r="M569" s="1">
        <v>41821</v>
      </c>
      <c r="N569">
        <v>7</v>
      </c>
      <c r="O569" t="s">
        <v>24</v>
      </c>
      <c r="P569" t="s">
        <v>12</v>
      </c>
      <c r="Q569" s="5">
        <f>tbl_financials[[#This Row],[Net_Sales]]</f>
        <v>21076.44</v>
      </c>
      <c r="R569" s="5">
        <f>ROUND(tbl_financials[[#This Row],[Revenue]]*(0.12+MOD(ROW(),7)/100),2)</f>
        <v>2950.7</v>
      </c>
      <c r="S569" s="7">
        <f t="shared" si="8"/>
        <v>9639</v>
      </c>
      <c r="T569" s="5">
        <f>tbl_financials[[#This Row],[Gross_Profit]]-tbl_financials[[#This Row],[Operating_Expenses]]+tbl_financials[[#This Row],[Other_Income]]</f>
        <v>10657.239999999991</v>
      </c>
      <c r="U569" s="11">
        <f>IF(tbl_financials[[#This Row],[Revenue]]=0,0,tbl_financials[[#This Row],[Net_Profit]]/tbl_financials[[#This Row],[Revenue]])</f>
        <v>0.50564706373562096</v>
      </c>
      <c r="V569" s="11" t="str">
        <f>tbl_financials[[#This Row],[Month_Name]] &amp; "_" &amp; tbl_financials[[#This Row],[Year]]</f>
        <v>July_2014</v>
      </c>
      <c r="W569" s="11" t="str">
        <f>tbl_financials[[#This Row],[Month_Name]] &amp; "_" &amp; (tbl_financials[[#This Row],[Year]]-1)</f>
        <v>July_2013</v>
      </c>
      <c r="X56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70" spans="1:24" x14ac:dyDescent="0.3">
      <c r="A570" t="s">
        <v>7</v>
      </c>
      <c r="B570" t="s">
        <v>13</v>
      </c>
      <c r="C570" t="s">
        <v>37</v>
      </c>
      <c r="D570" t="s">
        <v>41</v>
      </c>
      <c r="E570" s="9">
        <v>2734</v>
      </c>
      <c r="F570" s="7">
        <v>260</v>
      </c>
      <c r="G570" s="7">
        <v>7</v>
      </c>
      <c r="H570" s="7">
        <v>19138</v>
      </c>
      <c r="I570" s="5">
        <v>2296.56</v>
      </c>
      <c r="J570" s="5">
        <v>16841.439999999999</v>
      </c>
      <c r="K570" s="7">
        <v>13670</v>
      </c>
      <c r="L570" s="5">
        <v>3171.4399999999901</v>
      </c>
      <c r="M570" s="1">
        <v>41913</v>
      </c>
      <c r="N570">
        <v>10</v>
      </c>
      <c r="O570" t="s">
        <v>27</v>
      </c>
      <c r="P570" t="s">
        <v>12</v>
      </c>
      <c r="Q570" s="5">
        <f>tbl_financials[[#This Row],[Net_Sales]]</f>
        <v>16841.439999999999</v>
      </c>
      <c r="R570" s="5">
        <f>ROUND(tbl_financials[[#This Row],[Revenue]]*(0.12+MOD(ROW(),7)/100),2)</f>
        <v>2526.2199999999998</v>
      </c>
      <c r="S570" s="7">
        <f t="shared" si="8"/>
        <v>9670</v>
      </c>
      <c r="T570" s="5">
        <f>tbl_financials[[#This Row],[Gross_Profit]]-tbl_financials[[#This Row],[Operating_Expenses]]+tbl_financials[[#This Row],[Other_Income]]</f>
        <v>10315.21999999999</v>
      </c>
      <c r="U570" s="11">
        <f>IF(tbl_financials[[#This Row],[Revenue]]=0,0,tbl_financials[[#This Row],[Net_Profit]]/tbl_financials[[#This Row],[Revenue]])</f>
        <v>0.61249038087004382</v>
      </c>
      <c r="V570" s="11" t="str">
        <f>tbl_financials[[#This Row],[Month_Name]] &amp; "_" &amp; tbl_financials[[#This Row],[Year]]</f>
        <v>October_2014</v>
      </c>
      <c r="W570" s="11" t="str">
        <f>tbl_financials[[#This Row],[Month_Name]] &amp; "_" &amp; (tbl_financials[[#This Row],[Year]]-1)</f>
        <v>October_2013</v>
      </c>
      <c r="X57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-0.60947385507246377</v>
      </c>
    </row>
    <row r="571" spans="1:24" x14ac:dyDescent="0.3">
      <c r="A571" t="s">
        <v>5</v>
      </c>
      <c r="B571" t="s">
        <v>14</v>
      </c>
      <c r="C571" t="s">
        <v>37</v>
      </c>
      <c r="D571" t="s">
        <v>41</v>
      </c>
      <c r="E571" s="9">
        <v>2548</v>
      </c>
      <c r="F571" s="7">
        <v>260</v>
      </c>
      <c r="G571" s="7">
        <v>15</v>
      </c>
      <c r="H571" s="7">
        <v>38220</v>
      </c>
      <c r="I571" s="5">
        <v>4586.3999999999996</v>
      </c>
      <c r="J571" s="5">
        <v>33633.599999999999</v>
      </c>
      <c r="K571" s="7">
        <v>25480</v>
      </c>
      <c r="L571" s="5">
        <v>8153.5999999999904</v>
      </c>
      <c r="M571" s="1">
        <v>41579</v>
      </c>
      <c r="N571">
        <v>11</v>
      </c>
      <c r="O571" t="s">
        <v>28</v>
      </c>
      <c r="P571" t="s">
        <v>11</v>
      </c>
      <c r="Q571" s="5">
        <f>tbl_financials[[#This Row],[Net_Sales]]</f>
        <v>33633.599999999999</v>
      </c>
      <c r="R571" s="5">
        <f>ROUND(tbl_financials[[#This Row],[Revenue]]*(0.12+MOD(ROW(),7)/100),2)</f>
        <v>5381.38</v>
      </c>
      <c r="S571" s="7">
        <f t="shared" si="8"/>
        <v>9701</v>
      </c>
      <c r="T571" s="5">
        <f>tbl_financials[[#This Row],[Gross_Profit]]-tbl_financials[[#This Row],[Operating_Expenses]]+tbl_financials[[#This Row],[Other_Income]]</f>
        <v>12473.21999999999</v>
      </c>
      <c r="U571" s="11">
        <f>IF(tbl_financials[[#This Row],[Revenue]]=0,0,tbl_financials[[#This Row],[Net_Profit]]/tbl_financials[[#This Row],[Revenue]])</f>
        <v>0.37085592978450094</v>
      </c>
      <c r="V571" s="11" t="str">
        <f>tbl_financials[[#This Row],[Month_Name]] &amp; "_" &amp; tbl_financials[[#This Row],[Year]]</f>
        <v>November_2013</v>
      </c>
      <c r="W571" s="11" t="str">
        <f>tbl_financials[[#This Row],[Month_Name]] &amp; "_" &amp; (tbl_financials[[#This Row],[Year]]-1)</f>
        <v>November_2012</v>
      </c>
      <c r="X57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72" spans="1:24" x14ac:dyDescent="0.3">
      <c r="A572" t="s">
        <v>7</v>
      </c>
      <c r="B572" t="s">
        <v>15</v>
      </c>
      <c r="C572" t="s">
        <v>32</v>
      </c>
      <c r="D572" t="s">
        <v>41</v>
      </c>
      <c r="E572" s="9">
        <v>2521.5</v>
      </c>
      <c r="F572" s="7">
        <v>3</v>
      </c>
      <c r="G572" s="7">
        <v>20</v>
      </c>
      <c r="H572" s="7">
        <v>50430</v>
      </c>
      <c r="I572" s="5">
        <v>6051.6</v>
      </c>
      <c r="J572" s="5">
        <v>44378.3999999999</v>
      </c>
      <c r="K572" s="7">
        <v>25215</v>
      </c>
      <c r="L572" s="5">
        <v>19163.3999999999</v>
      </c>
      <c r="M572" s="1">
        <v>41640</v>
      </c>
      <c r="N572">
        <v>1</v>
      </c>
      <c r="O572" t="s">
        <v>18</v>
      </c>
      <c r="P572" t="s">
        <v>12</v>
      </c>
      <c r="Q572" s="5">
        <f>tbl_financials[[#This Row],[Net_Sales]]</f>
        <v>44378.3999999999</v>
      </c>
      <c r="R572" s="5">
        <f>ROUND(tbl_financials[[#This Row],[Revenue]]*(0.12+MOD(ROW(),7)/100),2)</f>
        <v>7544.33</v>
      </c>
      <c r="S572" s="7">
        <f t="shared" si="8"/>
        <v>9732</v>
      </c>
      <c r="T572" s="5">
        <f>tbl_financials[[#This Row],[Gross_Profit]]-tbl_financials[[#This Row],[Operating_Expenses]]+tbl_financials[[#This Row],[Other_Income]]</f>
        <v>21351.069999999898</v>
      </c>
      <c r="U572" s="11">
        <f>IF(tbl_financials[[#This Row],[Revenue]]=0,0,tbl_financials[[#This Row],[Net_Profit]]/tbl_financials[[#This Row],[Revenue]])</f>
        <v>0.48111401041948215</v>
      </c>
      <c r="V572" s="11" t="str">
        <f>tbl_financials[[#This Row],[Month_Name]] &amp; "_" &amp; tbl_financials[[#This Row],[Year]]</f>
        <v>January_2014</v>
      </c>
      <c r="W572" s="11" t="str">
        <f>tbl_financials[[#This Row],[Month_Name]] &amp; "_" &amp; (tbl_financials[[#This Row],[Year]]-1)</f>
        <v>January_2013</v>
      </c>
      <c r="X57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73" spans="1:24" x14ac:dyDescent="0.3">
      <c r="A573" t="s">
        <v>8</v>
      </c>
      <c r="B573" t="s">
        <v>17</v>
      </c>
      <c r="C573" t="s">
        <v>33</v>
      </c>
      <c r="D573" t="s">
        <v>41</v>
      </c>
      <c r="E573" s="9">
        <v>2661</v>
      </c>
      <c r="F573" s="7">
        <v>5</v>
      </c>
      <c r="G573" s="7">
        <v>12</v>
      </c>
      <c r="H573" s="7">
        <v>31932</v>
      </c>
      <c r="I573" s="5">
        <v>3831.84</v>
      </c>
      <c r="J573" s="5">
        <v>28100.16</v>
      </c>
      <c r="K573" s="7">
        <v>7983</v>
      </c>
      <c r="L573" s="5">
        <v>20117.16</v>
      </c>
      <c r="M573" s="1">
        <v>41760</v>
      </c>
      <c r="N573">
        <v>5</v>
      </c>
      <c r="O573" t="s">
        <v>22</v>
      </c>
      <c r="P573" t="s">
        <v>12</v>
      </c>
      <c r="Q573" s="5">
        <f>tbl_financials[[#This Row],[Net_Sales]]</f>
        <v>28100.16</v>
      </c>
      <c r="R573" s="5">
        <f>ROUND(tbl_financials[[#This Row],[Revenue]]*(0.12+MOD(ROW(),7)/100),2)</f>
        <v>5058.03</v>
      </c>
      <c r="S573" s="7">
        <f t="shared" si="8"/>
        <v>9763</v>
      </c>
      <c r="T573" s="5">
        <f>tbl_financials[[#This Row],[Gross_Profit]]-tbl_financials[[#This Row],[Operating_Expenses]]+tbl_financials[[#This Row],[Other_Income]]</f>
        <v>24822.13</v>
      </c>
      <c r="U573" s="11">
        <f>IF(tbl_financials[[#This Row],[Revenue]]=0,0,tbl_financials[[#This Row],[Net_Profit]]/tbl_financials[[#This Row],[Revenue]])</f>
        <v>0.88334479234281948</v>
      </c>
      <c r="V573" s="11" t="str">
        <f>tbl_financials[[#This Row],[Month_Name]] &amp; "_" &amp; tbl_financials[[#This Row],[Year]]</f>
        <v>May_2014</v>
      </c>
      <c r="W573" s="11" t="str">
        <f>tbl_financials[[#This Row],[Month_Name]] &amp; "_" &amp; (tbl_financials[[#This Row],[Year]]-1)</f>
        <v>May_2013</v>
      </c>
      <c r="X57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74" spans="1:24" x14ac:dyDescent="0.3">
      <c r="A574" t="s">
        <v>7</v>
      </c>
      <c r="B574" t="s">
        <v>16</v>
      </c>
      <c r="C574" t="s">
        <v>34</v>
      </c>
      <c r="D574" t="s">
        <v>41</v>
      </c>
      <c r="E574" s="9">
        <v>1531</v>
      </c>
      <c r="F574" s="7">
        <v>10</v>
      </c>
      <c r="G574" s="7">
        <v>20</v>
      </c>
      <c r="H574" s="7">
        <v>30620</v>
      </c>
      <c r="I574" s="5">
        <v>3674.4</v>
      </c>
      <c r="J574" s="5">
        <v>26945.599999999999</v>
      </c>
      <c r="K574" s="7">
        <v>15310</v>
      </c>
      <c r="L574" s="5">
        <v>11635.5999999999</v>
      </c>
      <c r="M574" s="1">
        <v>41974</v>
      </c>
      <c r="N574">
        <v>12</v>
      </c>
      <c r="O574" t="s">
        <v>29</v>
      </c>
      <c r="P574" t="s">
        <v>12</v>
      </c>
      <c r="Q574" s="5">
        <f>tbl_financials[[#This Row],[Net_Sales]]</f>
        <v>26945.599999999999</v>
      </c>
      <c r="R574" s="5">
        <f>ROUND(tbl_financials[[#This Row],[Revenue]]*(0.12+MOD(ROW(),7)/100),2)</f>
        <v>3233.47</v>
      </c>
      <c r="S574" s="7">
        <f t="shared" si="8"/>
        <v>9794</v>
      </c>
      <c r="T574" s="5">
        <f>tbl_financials[[#This Row],[Gross_Profit]]-tbl_financials[[#This Row],[Operating_Expenses]]+tbl_financials[[#This Row],[Other_Income]]</f>
        <v>18196.129999999903</v>
      </c>
      <c r="U574" s="11">
        <f>IF(tbl_financials[[#This Row],[Revenue]]=0,0,tbl_financials[[#This Row],[Net_Profit]]/tbl_financials[[#This Row],[Revenue]])</f>
        <v>0.67529132771212752</v>
      </c>
      <c r="V574" s="11" t="str">
        <f>tbl_financials[[#This Row],[Month_Name]] &amp; "_" &amp; tbl_financials[[#This Row],[Year]]</f>
        <v>December_2014</v>
      </c>
      <c r="W574" s="11" t="str">
        <f>tbl_financials[[#This Row],[Month_Name]] &amp; "_" &amp; (tbl_financials[[#This Row],[Year]]-1)</f>
        <v>December_2013</v>
      </c>
      <c r="X57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-0.16525402726146224</v>
      </c>
    </row>
    <row r="575" spans="1:24" x14ac:dyDescent="0.3">
      <c r="A575" t="s">
        <v>7</v>
      </c>
      <c r="B575" t="s">
        <v>15</v>
      </c>
      <c r="C575" t="s">
        <v>36</v>
      </c>
      <c r="D575" t="s">
        <v>41</v>
      </c>
      <c r="E575" s="9">
        <v>1491</v>
      </c>
      <c r="F575" s="7">
        <v>250</v>
      </c>
      <c r="G575" s="7">
        <v>7</v>
      </c>
      <c r="H575" s="7">
        <v>10437</v>
      </c>
      <c r="I575" s="5">
        <v>1252.44</v>
      </c>
      <c r="J575" s="5">
        <v>9184.56</v>
      </c>
      <c r="K575" s="7">
        <v>7455</v>
      </c>
      <c r="L575" s="5">
        <v>1729.5599999999899</v>
      </c>
      <c r="M575" s="1">
        <v>41699</v>
      </c>
      <c r="N575">
        <v>3</v>
      </c>
      <c r="O575" t="s">
        <v>20</v>
      </c>
      <c r="P575" t="s">
        <v>12</v>
      </c>
      <c r="Q575" s="5">
        <f>tbl_financials[[#This Row],[Net_Sales]]</f>
        <v>9184.56</v>
      </c>
      <c r="R575" s="5">
        <f>ROUND(tbl_financials[[#This Row],[Revenue]]*(0.12+MOD(ROW(),7)/100),2)</f>
        <v>1193.99</v>
      </c>
      <c r="S575" s="7">
        <f t="shared" si="8"/>
        <v>9825</v>
      </c>
      <c r="T575" s="5">
        <f>tbl_financials[[#This Row],[Gross_Profit]]-tbl_financials[[#This Row],[Operating_Expenses]]+tbl_financials[[#This Row],[Other_Income]]</f>
        <v>10360.569999999991</v>
      </c>
      <c r="U575" s="11">
        <f>IF(tbl_financials[[#This Row],[Revenue]]=0,0,tbl_financials[[#This Row],[Net_Profit]]/tbl_financials[[#This Row],[Revenue]])</f>
        <v>1.1280420618951796</v>
      </c>
      <c r="V575" s="11" t="str">
        <f>tbl_financials[[#This Row],[Month_Name]] &amp; "_" &amp; tbl_financials[[#This Row],[Year]]</f>
        <v>March_2014</v>
      </c>
      <c r="W575" s="11" t="str">
        <f>tbl_financials[[#This Row],[Month_Name]] &amp; "_" &amp; (tbl_financials[[#This Row],[Year]]-1)</f>
        <v>March_2013</v>
      </c>
      <c r="X57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76" spans="1:24" x14ac:dyDescent="0.3">
      <c r="A576" t="s">
        <v>7</v>
      </c>
      <c r="B576" t="s">
        <v>16</v>
      </c>
      <c r="C576" t="s">
        <v>36</v>
      </c>
      <c r="D576" t="s">
        <v>41</v>
      </c>
      <c r="E576" s="9">
        <v>1531</v>
      </c>
      <c r="F576" s="7">
        <v>250</v>
      </c>
      <c r="G576" s="7">
        <v>20</v>
      </c>
      <c r="H576" s="7">
        <v>30620</v>
      </c>
      <c r="I576" s="5">
        <v>3674.4</v>
      </c>
      <c r="J576" s="5">
        <v>26945.599999999999</v>
      </c>
      <c r="K576" s="7">
        <v>15310</v>
      </c>
      <c r="L576" s="5">
        <v>11635.5999999999</v>
      </c>
      <c r="M576" s="1">
        <v>41974</v>
      </c>
      <c r="N576">
        <v>12</v>
      </c>
      <c r="O576" t="s">
        <v>29</v>
      </c>
      <c r="P576" t="s">
        <v>12</v>
      </c>
      <c r="Q576" s="5">
        <f>tbl_financials[[#This Row],[Net_Sales]]</f>
        <v>26945.599999999999</v>
      </c>
      <c r="R576" s="5">
        <f>ROUND(tbl_financials[[#This Row],[Revenue]]*(0.12+MOD(ROW(),7)/100),2)</f>
        <v>3772.38</v>
      </c>
      <c r="S576" s="7">
        <f t="shared" si="8"/>
        <v>9856</v>
      </c>
      <c r="T576" s="5">
        <f>tbl_financials[[#This Row],[Gross_Profit]]-tbl_financials[[#This Row],[Operating_Expenses]]+tbl_financials[[#This Row],[Other_Income]]</f>
        <v>17719.219999999899</v>
      </c>
      <c r="U576" s="11">
        <f>IF(tbl_financials[[#This Row],[Revenue]]=0,0,tbl_financials[[#This Row],[Net_Profit]]/tbl_financials[[#This Row],[Revenue]])</f>
        <v>0.6575923341844272</v>
      </c>
      <c r="V576" s="11" t="str">
        <f>tbl_financials[[#This Row],[Month_Name]] &amp; "_" &amp; tbl_financials[[#This Row],[Year]]</f>
        <v>December_2014</v>
      </c>
      <c r="W576" s="11" t="str">
        <f>tbl_financials[[#This Row],[Month_Name]] &amp; "_" &amp; (tbl_financials[[#This Row],[Year]]-1)</f>
        <v>December_2013</v>
      </c>
      <c r="X57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-0.16525402726146224</v>
      </c>
    </row>
    <row r="577" spans="1:24" x14ac:dyDescent="0.3">
      <c r="A577" t="s">
        <v>8</v>
      </c>
      <c r="B577" t="s">
        <v>13</v>
      </c>
      <c r="C577" t="s">
        <v>37</v>
      </c>
      <c r="D577" t="s">
        <v>41</v>
      </c>
      <c r="E577" s="9">
        <v>2761</v>
      </c>
      <c r="F577" s="7">
        <v>260</v>
      </c>
      <c r="G577" s="7">
        <v>12</v>
      </c>
      <c r="H577" s="7">
        <v>33132</v>
      </c>
      <c r="I577" s="5">
        <v>3975.84</v>
      </c>
      <c r="J577" s="5">
        <v>29156.16</v>
      </c>
      <c r="K577" s="7">
        <v>8283</v>
      </c>
      <c r="L577" s="5">
        <v>20873.16</v>
      </c>
      <c r="M577" s="1">
        <v>41518</v>
      </c>
      <c r="N577">
        <v>9</v>
      </c>
      <c r="O577" t="s">
        <v>26</v>
      </c>
      <c r="P577" t="s">
        <v>11</v>
      </c>
      <c r="Q577" s="5">
        <f>tbl_financials[[#This Row],[Net_Sales]]</f>
        <v>29156.16</v>
      </c>
      <c r="R577" s="5">
        <f>ROUND(tbl_financials[[#This Row],[Revenue]]*(0.12+MOD(ROW(),7)/100),2)</f>
        <v>4373.42</v>
      </c>
      <c r="S577" s="7">
        <f t="shared" si="8"/>
        <v>9887</v>
      </c>
      <c r="T577" s="5">
        <f>tbl_financials[[#This Row],[Gross_Profit]]-tbl_financials[[#This Row],[Operating_Expenses]]+tbl_financials[[#This Row],[Other_Income]]</f>
        <v>26386.739999999998</v>
      </c>
      <c r="U577" s="11">
        <f>IF(tbl_financials[[#This Row],[Revenue]]=0,0,tbl_financials[[#This Row],[Net_Profit]]/tbl_financials[[#This Row],[Revenue]])</f>
        <v>0.90501424055842739</v>
      </c>
      <c r="V577" s="11" t="str">
        <f>tbl_financials[[#This Row],[Month_Name]] &amp; "_" &amp; tbl_financials[[#This Row],[Year]]</f>
        <v>September_2013</v>
      </c>
      <c r="W577" s="11" t="str">
        <f>tbl_financials[[#This Row],[Month_Name]] &amp; "_" &amp; (tbl_financials[[#This Row],[Year]]-1)</f>
        <v>September_2012</v>
      </c>
      <c r="X57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78" spans="1:24" x14ac:dyDescent="0.3">
      <c r="A578" t="s">
        <v>5</v>
      </c>
      <c r="B578" t="s">
        <v>14</v>
      </c>
      <c r="C578" t="s">
        <v>32</v>
      </c>
      <c r="D578" t="s">
        <v>41</v>
      </c>
      <c r="E578" s="9">
        <v>2567</v>
      </c>
      <c r="F578" s="7">
        <v>3</v>
      </c>
      <c r="G578" s="7">
        <v>15</v>
      </c>
      <c r="H578" s="7">
        <v>38505</v>
      </c>
      <c r="I578" s="5">
        <v>5005.6499999999996</v>
      </c>
      <c r="J578" s="5">
        <v>33499.35</v>
      </c>
      <c r="K578" s="7">
        <v>25670</v>
      </c>
      <c r="L578" s="5">
        <v>7829.3499999999904</v>
      </c>
      <c r="M578" s="1">
        <v>41791</v>
      </c>
      <c r="N578">
        <v>6</v>
      </c>
      <c r="O578" t="s">
        <v>23</v>
      </c>
      <c r="P578" t="s">
        <v>12</v>
      </c>
      <c r="Q578" s="5">
        <f>tbl_financials[[#This Row],[Net_Sales]]</f>
        <v>33499.35</v>
      </c>
      <c r="R578" s="5">
        <f>ROUND(tbl_financials[[#This Row],[Revenue]]*(0.12+MOD(ROW(),7)/100),2)</f>
        <v>5359.9</v>
      </c>
      <c r="S578" s="7">
        <f t="shared" ref="S578:S641" si="9">ROUND(1000+MOD(ROW()*31,9000),0)</f>
        <v>9918</v>
      </c>
      <c r="T578" s="5">
        <f>tbl_financials[[#This Row],[Gross_Profit]]-tbl_financials[[#This Row],[Operating_Expenses]]+tbl_financials[[#This Row],[Other_Income]]</f>
        <v>12387.44999999999</v>
      </c>
      <c r="U578" s="11">
        <f>IF(tbl_financials[[#This Row],[Revenue]]=0,0,tbl_financials[[#This Row],[Net_Profit]]/tbl_financials[[#This Row],[Revenue]])</f>
        <v>0.36978180173645131</v>
      </c>
      <c r="V578" s="11" t="str">
        <f>tbl_financials[[#This Row],[Month_Name]] &amp; "_" &amp; tbl_financials[[#This Row],[Year]]</f>
        <v>June_2014</v>
      </c>
      <c r="W578" s="11" t="str">
        <f>tbl_financials[[#This Row],[Month_Name]] &amp; "_" &amp; (tbl_financials[[#This Row],[Year]]-1)</f>
        <v>June_2013</v>
      </c>
      <c r="X57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79" spans="1:24" x14ac:dyDescent="0.3">
      <c r="A579" t="s">
        <v>5</v>
      </c>
      <c r="B579" t="s">
        <v>14</v>
      </c>
      <c r="C579" t="s">
        <v>36</v>
      </c>
      <c r="D579" t="s">
        <v>41</v>
      </c>
      <c r="E579" s="9">
        <v>2567</v>
      </c>
      <c r="F579" s="7">
        <v>250</v>
      </c>
      <c r="G579" s="7">
        <v>15</v>
      </c>
      <c r="H579" s="7">
        <v>38505</v>
      </c>
      <c r="I579" s="5">
        <v>5005.6499999999996</v>
      </c>
      <c r="J579" s="5">
        <v>33499.35</v>
      </c>
      <c r="K579" s="7">
        <v>25670</v>
      </c>
      <c r="L579" s="5">
        <v>7829.3499999999904</v>
      </c>
      <c r="M579" s="1">
        <v>41791</v>
      </c>
      <c r="N579">
        <v>6</v>
      </c>
      <c r="O579" t="s">
        <v>23</v>
      </c>
      <c r="P579" t="s">
        <v>12</v>
      </c>
      <c r="Q579" s="5">
        <f>tbl_financials[[#This Row],[Net_Sales]]</f>
        <v>33499.35</v>
      </c>
      <c r="R579" s="5">
        <f>ROUND(tbl_financials[[#This Row],[Revenue]]*(0.12+MOD(ROW(),7)/100),2)</f>
        <v>5694.89</v>
      </c>
      <c r="S579" s="7">
        <f t="shared" si="9"/>
        <v>9949</v>
      </c>
      <c r="T579" s="5">
        <f>tbl_financials[[#This Row],[Gross_Profit]]-tbl_financials[[#This Row],[Operating_Expenses]]+tbl_financials[[#This Row],[Other_Income]]</f>
        <v>12083.45999999999</v>
      </c>
      <c r="U579" s="11">
        <f>IF(tbl_financials[[#This Row],[Revenue]]=0,0,tbl_financials[[#This Row],[Net_Profit]]/tbl_financials[[#This Row],[Revenue]])</f>
        <v>0.36070729730576834</v>
      </c>
      <c r="V579" s="11" t="str">
        <f>tbl_financials[[#This Row],[Month_Name]] &amp; "_" &amp; tbl_financials[[#This Row],[Year]]</f>
        <v>June_2014</v>
      </c>
      <c r="W579" s="11" t="str">
        <f>tbl_financials[[#This Row],[Month_Name]] &amp; "_" &amp; (tbl_financials[[#This Row],[Year]]-1)</f>
        <v>June_2013</v>
      </c>
      <c r="X57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80" spans="1:24" x14ac:dyDescent="0.3">
      <c r="A580" t="s">
        <v>7</v>
      </c>
      <c r="B580" t="s">
        <v>13</v>
      </c>
      <c r="C580" t="s">
        <v>32</v>
      </c>
      <c r="D580" t="s">
        <v>41</v>
      </c>
      <c r="E580" s="9">
        <v>923</v>
      </c>
      <c r="F580" s="7">
        <v>3</v>
      </c>
      <c r="G580" s="7">
        <v>350</v>
      </c>
      <c r="H580" s="7">
        <v>323050</v>
      </c>
      <c r="I580" s="5">
        <v>41996.5</v>
      </c>
      <c r="J580" s="5">
        <v>281053.5</v>
      </c>
      <c r="K580" s="7">
        <v>239980</v>
      </c>
      <c r="L580" s="5">
        <v>41073.5</v>
      </c>
      <c r="M580" s="1">
        <v>41699</v>
      </c>
      <c r="N580">
        <v>3</v>
      </c>
      <c r="O580" t="s">
        <v>20</v>
      </c>
      <c r="P580" t="s">
        <v>12</v>
      </c>
      <c r="Q580" s="5">
        <f>tbl_financials[[#This Row],[Net_Sales]]</f>
        <v>281053.5</v>
      </c>
      <c r="R580" s="5">
        <f>ROUND(tbl_financials[[#This Row],[Revenue]]*(0.12+MOD(ROW(),7)/100),2)</f>
        <v>50589.63</v>
      </c>
      <c r="S580" s="7">
        <f t="shared" si="9"/>
        <v>9980</v>
      </c>
      <c r="T580" s="5">
        <f>tbl_financials[[#This Row],[Gross_Profit]]-tbl_financials[[#This Row],[Operating_Expenses]]+tbl_financials[[#This Row],[Other_Income]]</f>
        <v>463.87000000000262</v>
      </c>
      <c r="U580" s="11">
        <f>IF(tbl_financials[[#This Row],[Revenue]]=0,0,tbl_financials[[#This Row],[Net_Profit]]/tbl_financials[[#This Row],[Revenue]])</f>
        <v>1.6504686830087604E-3</v>
      </c>
      <c r="V580" s="11" t="str">
        <f>tbl_financials[[#This Row],[Month_Name]] &amp; "_" &amp; tbl_financials[[#This Row],[Year]]</f>
        <v>March_2014</v>
      </c>
      <c r="W580" s="11" t="str">
        <f>tbl_financials[[#This Row],[Month_Name]] &amp; "_" &amp; (tbl_financials[[#This Row],[Year]]-1)</f>
        <v>March_2013</v>
      </c>
      <c r="X58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81" spans="1:24" x14ac:dyDescent="0.3">
      <c r="A581" t="s">
        <v>7</v>
      </c>
      <c r="B581" t="s">
        <v>15</v>
      </c>
      <c r="C581" t="s">
        <v>32</v>
      </c>
      <c r="D581" t="s">
        <v>41</v>
      </c>
      <c r="E581" s="9">
        <v>1790</v>
      </c>
      <c r="F581" s="7">
        <v>3</v>
      </c>
      <c r="G581" s="7">
        <v>350</v>
      </c>
      <c r="H581" s="7">
        <v>626500</v>
      </c>
      <c r="I581" s="5">
        <v>81445</v>
      </c>
      <c r="J581" s="5">
        <v>545055</v>
      </c>
      <c r="K581" s="7">
        <v>465400</v>
      </c>
      <c r="L581" s="5">
        <v>79655</v>
      </c>
      <c r="M581" s="1">
        <v>41699</v>
      </c>
      <c r="N581">
        <v>3</v>
      </c>
      <c r="O581" t="s">
        <v>20</v>
      </c>
      <c r="P581" t="s">
        <v>12</v>
      </c>
      <c r="Q581" s="5">
        <f>tbl_financials[[#This Row],[Net_Sales]]</f>
        <v>545055</v>
      </c>
      <c r="R581" s="5">
        <f>ROUND(tbl_financials[[#This Row],[Revenue]]*(0.12+MOD(ROW(),7)/100),2)</f>
        <v>65406.6</v>
      </c>
      <c r="S581" s="7">
        <f t="shared" si="9"/>
        <v>1011</v>
      </c>
      <c r="T581" s="5">
        <f>tbl_financials[[#This Row],[Gross_Profit]]-tbl_financials[[#This Row],[Operating_Expenses]]+tbl_financials[[#This Row],[Other_Income]]</f>
        <v>15259.400000000001</v>
      </c>
      <c r="U581" s="11">
        <f>IF(tbl_financials[[#This Row],[Revenue]]=0,0,tbl_financials[[#This Row],[Net_Profit]]/tbl_financials[[#This Row],[Revenue]])</f>
        <v>2.7996073790718369E-2</v>
      </c>
      <c r="V581" s="11" t="str">
        <f>tbl_financials[[#This Row],[Month_Name]] &amp; "_" &amp; tbl_financials[[#This Row],[Year]]</f>
        <v>March_2014</v>
      </c>
      <c r="W581" s="11" t="str">
        <f>tbl_financials[[#This Row],[Month_Name]] &amp; "_" &amp; (tbl_financials[[#This Row],[Year]]-1)</f>
        <v>March_2013</v>
      </c>
      <c r="X58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82" spans="1:24" x14ac:dyDescent="0.3">
      <c r="A582" t="s">
        <v>7</v>
      </c>
      <c r="B582" t="s">
        <v>16</v>
      </c>
      <c r="C582" t="s">
        <v>32</v>
      </c>
      <c r="D582" t="s">
        <v>41</v>
      </c>
      <c r="E582" s="9">
        <v>442</v>
      </c>
      <c r="F582" s="7">
        <v>3</v>
      </c>
      <c r="G582" s="7">
        <v>20</v>
      </c>
      <c r="H582" s="7">
        <v>8840</v>
      </c>
      <c r="I582" s="5">
        <v>1149.2</v>
      </c>
      <c r="J582" s="5">
        <v>7690.8</v>
      </c>
      <c r="K582" s="7">
        <v>4420</v>
      </c>
      <c r="L582" s="5">
        <v>3270.8</v>
      </c>
      <c r="M582" s="1">
        <v>41518</v>
      </c>
      <c r="N582">
        <v>9</v>
      </c>
      <c r="O582" t="s">
        <v>26</v>
      </c>
      <c r="P582" t="s">
        <v>11</v>
      </c>
      <c r="Q582" s="5">
        <f>tbl_financials[[#This Row],[Net_Sales]]</f>
        <v>7690.8</v>
      </c>
      <c r="R582" s="5">
        <f>ROUND(tbl_financials[[#This Row],[Revenue]]*(0.12+MOD(ROW(),7)/100),2)</f>
        <v>999.8</v>
      </c>
      <c r="S582" s="7">
        <f t="shared" si="9"/>
        <v>1042</v>
      </c>
      <c r="T582" s="5">
        <f>tbl_financials[[#This Row],[Gross_Profit]]-tbl_financials[[#This Row],[Operating_Expenses]]+tbl_financials[[#This Row],[Other_Income]]</f>
        <v>3313</v>
      </c>
      <c r="U582" s="11">
        <f>IF(tbl_financials[[#This Row],[Revenue]]=0,0,tbl_financials[[#This Row],[Net_Profit]]/tbl_financials[[#This Row],[Revenue]])</f>
        <v>0.43077443178863056</v>
      </c>
      <c r="V582" s="11" t="str">
        <f>tbl_financials[[#This Row],[Month_Name]] &amp; "_" &amp; tbl_financials[[#This Row],[Year]]</f>
        <v>September_2013</v>
      </c>
      <c r="W582" s="11" t="str">
        <f>tbl_financials[[#This Row],[Month_Name]] &amp; "_" &amp; (tbl_financials[[#This Row],[Year]]-1)</f>
        <v>September_2012</v>
      </c>
      <c r="X58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83" spans="1:24" x14ac:dyDescent="0.3">
      <c r="A583" t="s">
        <v>7</v>
      </c>
      <c r="B583" t="s">
        <v>14</v>
      </c>
      <c r="C583" t="s">
        <v>33</v>
      </c>
      <c r="D583" t="s">
        <v>41</v>
      </c>
      <c r="E583" s="9">
        <v>982.5</v>
      </c>
      <c r="F583" s="7">
        <v>5</v>
      </c>
      <c r="G583" s="7">
        <v>350</v>
      </c>
      <c r="H583" s="7">
        <v>343875</v>
      </c>
      <c r="I583" s="5">
        <v>44703.75</v>
      </c>
      <c r="J583" s="5">
        <v>299171.25</v>
      </c>
      <c r="K583" s="7">
        <v>255450</v>
      </c>
      <c r="L583" s="5">
        <v>43721.25</v>
      </c>
      <c r="M583" s="1">
        <v>41640</v>
      </c>
      <c r="N583">
        <v>1</v>
      </c>
      <c r="O583" t="s">
        <v>18</v>
      </c>
      <c r="P583" t="s">
        <v>12</v>
      </c>
      <c r="Q583" s="5">
        <f>tbl_financials[[#This Row],[Net_Sales]]</f>
        <v>299171.25</v>
      </c>
      <c r="R583" s="5">
        <f>ROUND(tbl_financials[[#This Row],[Revenue]]*(0.12+MOD(ROW(),7)/100),2)</f>
        <v>41883.980000000003</v>
      </c>
      <c r="S583" s="7">
        <f t="shared" si="9"/>
        <v>1073</v>
      </c>
      <c r="T583" s="5">
        <f>tbl_financials[[#This Row],[Gross_Profit]]-tbl_financials[[#This Row],[Operating_Expenses]]+tbl_financials[[#This Row],[Other_Income]]</f>
        <v>2910.2699999999968</v>
      </c>
      <c r="U583" s="11">
        <f>IF(tbl_financials[[#This Row],[Revenue]]=0,0,tbl_financials[[#This Row],[Net_Profit]]/tbl_financials[[#This Row],[Revenue]])</f>
        <v>9.7277729728374521E-3</v>
      </c>
      <c r="V583" s="11" t="str">
        <f>tbl_financials[[#This Row],[Month_Name]] &amp; "_" &amp; tbl_financials[[#This Row],[Year]]</f>
        <v>January_2014</v>
      </c>
      <c r="W583" s="11" t="str">
        <f>tbl_financials[[#This Row],[Month_Name]] &amp; "_" &amp; (tbl_financials[[#This Row],[Year]]-1)</f>
        <v>January_2013</v>
      </c>
      <c r="X58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84" spans="1:24" x14ac:dyDescent="0.3">
      <c r="A584" t="s">
        <v>7</v>
      </c>
      <c r="B584" t="s">
        <v>14</v>
      </c>
      <c r="C584" t="s">
        <v>33</v>
      </c>
      <c r="D584" t="s">
        <v>41</v>
      </c>
      <c r="E584" s="9">
        <v>1298</v>
      </c>
      <c r="F584" s="7">
        <v>5</v>
      </c>
      <c r="G584" s="7">
        <v>7</v>
      </c>
      <c r="H584" s="7">
        <v>9086</v>
      </c>
      <c r="I584" s="5">
        <v>1181.18</v>
      </c>
      <c r="J584" s="5">
        <v>7904.82</v>
      </c>
      <c r="K584" s="7">
        <v>6490</v>
      </c>
      <c r="L584" s="5">
        <v>1414.8199999999899</v>
      </c>
      <c r="M584" s="1">
        <v>41671</v>
      </c>
      <c r="N584">
        <v>2</v>
      </c>
      <c r="O584" t="s">
        <v>19</v>
      </c>
      <c r="P584" t="s">
        <v>12</v>
      </c>
      <c r="Q584" s="5">
        <f>tbl_financials[[#This Row],[Net_Sales]]</f>
        <v>7904.82</v>
      </c>
      <c r="R584" s="5">
        <f>ROUND(tbl_financials[[#This Row],[Revenue]]*(0.12+MOD(ROW(),7)/100),2)</f>
        <v>1185.72</v>
      </c>
      <c r="S584" s="7">
        <f t="shared" si="9"/>
        <v>1104</v>
      </c>
      <c r="T584" s="5">
        <f>tbl_financials[[#This Row],[Gross_Profit]]-tbl_financials[[#This Row],[Operating_Expenses]]+tbl_financials[[#This Row],[Other_Income]]</f>
        <v>1333.0999999999899</v>
      </c>
      <c r="U584" s="11">
        <f>IF(tbl_financials[[#This Row],[Revenue]]=0,0,tbl_financials[[#This Row],[Net_Profit]]/tbl_financials[[#This Row],[Revenue]])</f>
        <v>0.16864394129151453</v>
      </c>
      <c r="V584" s="11" t="str">
        <f>tbl_financials[[#This Row],[Month_Name]] &amp; "_" &amp; tbl_financials[[#This Row],[Year]]</f>
        <v>February_2014</v>
      </c>
      <c r="W584" s="11" t="str">
        <f>tbl_financials[[#This Row],[Month_Name]] &amp; "_" &amp; (tbl_financials[[#This Row],[Year]]-1)</f>
        <v>February_2013</v>
      </c>
      <c r="X58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85" spans="1:24" x14ac:dyDescent="0.3">
      <c r="A585" t="s">
        <v>8</v>
      </c>
      <c r="B585" t="s">
        <v>17</v>
      </c>
      <c r="C585" t="s">
        <v>33</v>
      </c>
      <c r="D585" t="s">
        <v>41</v>
      </c>
      <c r="E585" s="9">
        <v>604</v>
      </c>
      <c r="F585" s="7">
        <v>5</v>
      </c>
      <c r="G585" s="7">
        <v>12</v>
      </c>
      <c r="H585" s="7">
        <v>7248</v>
      </c>
      <c r="I585" s="5">
        <v>942.24</v>
      </c>
      <c r="J585" s="5">
        <v>6305.76</v>
      </c>
      <c r="K585" s="7">
        <v>1812</v>
      </c>
      <c r="L585" s="5">
        <v>4493.76</v>
      </c>
      <c r="M585" s="1">
        <v>41791</v>
      </c>
      <c r="N585">
        <v>6</v>
      </c>
      <c r="O585" t="s">
        <v>23</v>
      </c>
      <c r="P585" t="s">
        <v>12</v>
      </c>
      <c r="Q585" s="5">
        <f>tbl_financials[[#This Row],[Net_Sales]]</f>
        <v>6305.76</v>
      </c>
      <c r="R585" s="5">
        <f>ROUND(tbl_financials[[#This Row],[Revenue]]*(0.12+MOD(ROW(),7)/100),2)</f>
        <v>1008.92</v>
      </c>
      <c r="S585" s="7">
        <f t="shared" si="9"/>
        <v>1135</v>
      </c>
      <c r="T585" s="5">
        <f>tbl_financials[[#This Row],[Gross_Profit]]-tbl_financials[[#This Row],[Operating_Expenses]]+tbl_financials[[#This Row],[Other_Income]]</f>
        <v>4619.84</v>
      </c>
      <c r="U585" s="11">
        <f>IF(tbl_financials[[#This Row],[Revenue]]=0,0,tbl_financials[[#This Row],[Net_Profit]]/tbl_financials[[#This Row],[Revenue]])</f>
        <v>0.73263809596305596</v>
      </c>
      <c r="V585" s="11" t="str">
        <f>tbl_financials[[#This Row],[Month_Name]] &amp; "_" &amp; tbl_financials[[#This Row],[Year]]</f>
        <v>June_2014</v>
      </c>
      <c r="W585" s="11" t="str">
        <f>tbl_financials[[#This Row],[Month_Name]] &amp; "_" &amp; (tbl_financials[[#This Row],[Year]]-1)</f>
        <v>June_2013</v>
      </c>
      <c r="X58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86" spans="1:24" x14ac:dyDescent="0.3">
      <c r="A586" t="s">
        <v>7</v>
      </c>
      <c r="B586" t="s">
        <v>17</v>
      </c>
      <c r="C586" t="s">
        <v>33</v>
      </c>
      <c r="D586" t="s">
        <v>41</v>
      </c>
      <c r="E586" s="9">
        <v>2255</v>
      </c>
      <c r="F586" s="7">
        <v>5</v>
      </c>
      <c r="G586" s="7">
        <v>20</v>
      </c>
      <c r="H586" s="7">
        <v>45100</v>
      </c>
      <c r="I586" s="5">
        <v>5863</v>
      </c>
      <c r="J586" s="5">
        <v>39237</v>
      </c>
      <c r="K586" s="7">
        <v>22550</v>
      </c>
      <c r="L586" s="5">
        <v>16687</v>
      </c>
      <c r="M586" s="1">
        <v>41821</v>
      </c>
      <c r="N586">
        <v>7</v>
      </c>
      <c r="O586" t="s">
        <v>24</v>
      </c>
      <c r="P586" t="s">
        <v>12</v>
      </c>
      <c r="Q586" s="5">
        <f>tbl_financials[[#This Row],[Net_Sales]]</f>
        <v>39237</v>
      </c>
      <c r="R586" s="5">
        <f>ROUND(tbl_financials[[#This Row],[Revenue]]*(0.12+MOD(ROW(),7)/100),2)</f>
        <v>6670.29</v>
      </c>
      <c r="S586" s="7">
        <f t="shared" si="9"/>
        <v>1166</v>
      </c>
      <c r="T586" s="5">
        <f>tbl_financials[[#This Row],[Gross_Profit]]-tbl_financials[[#This Row],[Operating_Expenses]]+tbl_financials[[#This Row],[Other_Income]]</f>
        <v>11182.71</v>
      </c>
      <c r="U586" s="11">
        <f>IF(tbl_financials[[#This Row],[Revenue]]=0,0,tbl_financials[[#This Row],[Net_Profit]]/tbl_financials[[#This Row],[Revenue]])</f>
        <v>0.2850042052144659</v>
      </c>
      <c r="V586" s="11" t="str">
        <f>tbl_financials[[#This Row],[Month_Name]] &amp; "_" &amp; tbl_financials[[#This Row],[Year]]</f>
        <v>July_2014</v>
      </c>
      <c r="W586" s="11" t="str">
        <f>tbl_financials[[#This Row],[Month_Name]] &amp; "_" &amp; (tbl_financials[[#This Row],[Year]]-1)</f>
        <v>July_2013</v>
      </c>
      <c r="X58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87" spans="1:24" x14ac:dyDescent="0.3">
      <c r="A587" t="s">
        <v>7</v>
      </c>
      <c r="B587" t="s">
        <v>13</v>
      </c>
      <c r="C587" t="s">
        <v>33</v>
      </c>
      <c r="D587" t="s">
        <v>41</v>
      </c>
      <c r="E587" s="9">
        <v>1249</v>
      </c>
      <c r="F587" s="7">
        <v>5</v>
      </c>
      <c r="G587" s="7">
        <v>20</v>
      </c>
      <c r="H587" s="7">
        <v>24980</v>
      </c>
      <c r="I587" s="5">
        <v>3247.4</v>
      </c>
      <c r="J587" s="5">
        <v>21732.6</v>
      </c>
      <c r="K587" s="7">
        <v>12490</v>
      </c>
      <c r="L587" s="5">
        <v>9242.5999999999894</v>
      </c>
      <c r="M587" s="1">
        <v>41913</v>
      </c>
      <c r="N587">
        <v>10</v>
      </c>
      <c r="O587" t="s">
        <v>27</v>
      </c>
      <c r="P587" t="s">
        <v>12</v>
      </c>
      <c r="Q587" s="5">
        <f>tbl_financials[[#This Row],[Net_Sales]]</f>
        <v>21732.6</v>
      </c>
      <c r="R587" s="5">
        <f>ROUND(tbl_financials[[#This Row],[Revenue]]*(0.12+MOD(ROW(),7)/100),2)</f>
        <v>3911.87</v>
      </c>
      <c r="S587" s="7">
        <f t="shared" si="9"/>
        <v>1197</v>
      </c>
      <c r="T587" s="5">
        <f>tbl_financials[[#This Row],[Gross_Profit]]-tbl_financials[[#This Row],[Operating_Expenses]]+tbl_financials[[#This Row],[Other_Income]]</f>
        <v>6527.7299999999896</v>
      </c>
      <c r="U587" s="11">
        <f>IF(tbl_financials[[#This Row],[Revenue]]=0,0,tbl_financials[[#This Row],[Net_Profit]]/tbl_financials[[#This Row],[Revenue]])</f>
        <v>0.30036580988929029</v>
      </c>
      <c r="V587" s="11" t="str">
        <f>tbl_financials[[#This Row],[Month_Name]] &amp; "_" &amp; tbl_financials[[#This Row],[Year]]</f>
        <v>October_2014</v>
      </c>
      <c r="W587" s="11" t="str">
        <f>tbl_financials[[#This Row],[Month_Name]] &amp; "_" &amp; (tbl_financials[[#This Row],[Year]]-1)</f>
        <v>October_2013</v>
      </c>
      <c r="X58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-0.49605565217391306</v>
      </c>
    </row>
    <row r="588" spans="1:24" x14ac:dyDescent="0.3">
      <c r="A588" t="s">
        <v>7</v>
      </c>
      <c r="B588" t="s">
        <v>14</v>
      </c>
      <c r="C588" t="s">
        <v>34</v>
      </c>
      <c r="D588" t="s">
        <v>41</v>
      </c>
      <c r="E588" s="9">
        <v>1438.5</v>
      </c>
      <c r="F588" s="7">
        <v>10</v>
      </c>
      <c r="G588" s="7">
        <v>7</v>
      </c>
      <c r="H588" s="7">
        <v>10069.5</v>
      </c>
      <c r="I588" s="5">
        <v>1309.0350000000001</v>
      </c>
      <c r="J588" s="5">
        <v>8760.4650000000001</v>
      </c>
      <c r="K588" s="7">
        <v>7192.5</v>
      </c>
      <c r="L588" s="5">
        <v>1567.9649999999899</v>
      </c>
      <c r="M588" s="1">
        <v>41640</v>
      </c>
      <c r="N588">
        <v>1</v>
      </c>
      <c r="O588" t="s">
        <v>18</v>
      </c>
      <c r="P588" t="s">
        <v>12</v>
      </c>
      <c r="Q588" s="5">
        <f>tbl_financials[[#This Row],[Net_Sales]]</f>
        <v>8760.4650000000001</v>
      </c>
      <c r="R588" s="5">
        <f>ROUND(tbl_financials[[#This Row],[Revenue]]*(0.12+MOD(ROW(),7)/100),2)</f>
        <v>1051.26</v>
      </c>
      <c r="S588" s="7">
        <f t="shared" si="9"/>
        <v>1228</v>
      </c>
      <c r="T588" s="5">
        <f>tbl_financials[[#This Row],[Gross_Profit]]-tbl_financials[[#This Row],[Operating_Expenses]]+tbl_financials[[#This Row],[Other_Income]]</f>
        <v>1744.7049999999899</v>
      </c>
      <c r="U588" s="11">
        <f>IF(tbl_financials[[#This Row],[Revenue]]=0,0,tbl_financials[[#This Row],[Net_Profit]]/tbl_financials[[#This Row],[Revenue]])</f>
        <v>0.19915666577059435</v>
      </c>
      <c r="V588" s="11" t="str">
        <f>tbl_financials[[#This Row],[Month_Name]] &amp; "_" &amp; tbl_financials[[#This Row],[Year]]</f>
        <v>January_2014</v>
      </c>
      <c r="W588" s="11" t="str">
        <f>tbl_financials[[#This Row],[Month_Name]] &amp; "_" &amp; (tbl_financials[[#This Row],[Year]]-1)</f>
        <v>January_2013</v>
      </c>
      <c r="X58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89" spans="1:24" x14ac:dyDescent="0.3">
      <c r="A589" t="s">
        <v>4</v>
      </c>
      <c r="B589" t="s">
        <v>16</v>
      </c>
      <c r="C589" t="s">
        <v>34</v>
      </c>
      <c r="D589" t="s">
        <v>41</v>
      </c>
      <c r="E589" s="9">
        <v>807</v>
      </c>
      <c r="F589" s="7">
        <v>10</v>
      </c>
      <c r="G589" s="7">
        <v>300</v>
      </c>
      <c r="H589" s="7">
        <v>242100</v>
      </c>
      <c r="I589" s="5">
        <v>31473</v>
      </c>
      <c r="J589" s="5">
        <v>210627</v>
      </c>
      <c r="K589" s="7">
        <v>201750</v>
      </c>
      <c r="L589" s="5">
        <v>8877</v>
      </c>
      <c r="M589" s="1">
        <v>41640</v>
      </c>
      <c r="N589">
        <v>1</v>
      </c>
      <c r="O589" t="s">
        <v>18</v>
      </c>
      <c r="P589" t="s">
        <v>12</v>
      </c>
      <c r="Q589" s="5">
        <f>tbl_financials[[#This Row],[Net_Sales]]</f>
        <v>210627</v>
      </c>
      <c r="R589" s="5">
        <f>ROUND(tbl_financials[[#This Row],[Revenue]]*(0.12+MOD(ROW(),7)/100),2)</f>
        <v>27381.51</v>
      </c>
      <c r="S589" s="7">
        <f t="shared" si="9"/>
        <v>1259</v>
      </c>
      <c r="T589" s="5">
        <f>tbl_financials[[#This Row],[Gross_Profit]]-tbl_financials[[#This Row],[Operating_Expenses]]+tbl_financials[[#This Row],[Other_Income]]</f>
        <v>-17245.509999999998</v>
      </c>
      <c r="U589" s="11">
        <f>IF(tbl_financials[[#This Row],[Revenue]]=0,0,tbl_financials[[#This Row],[Net_Profit]]/tbl_financials[[#This Row],[Revenue]])</f>
        <v>-8.1877014817663449E-2</v>
      </c>
      <c r="V589" s="11" t="str">
        <f>tbl_financials[[#This Row],[Month_Name]] &amp; "_" &amp; tbl_financials[[#This Row],[Year]]</f>
        <v>January_2014</v>
      </c>
      <c r="W589" s="11" t="str">
        <f>tbl_financials[[#This Row],[Month_Name]] &amp; "_" &amp; (tbl_financials[[#This Row],[Year]]-1)</f>
        <v>January_2013</v>
      </c>
      <c r="X58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90" spans="1:24" x14ac:dyDescent="0.3">
      <c r="A590" t="s">
        <v>7</v>
      </c>
      <c r="B590" t="s">
        <v>14</v>
      </c>
      <c r="C590" t="s">
        <v>34</v>
      </c>
      <c r="D590" t="s">
        <v>41</v>
      </c>
      <c r="E590" s="9">
        <v>2641</v>
      </c>
      <c r="F590" s="7">
        <v>10</v>
      </c>
      <c r="G590" s="7">
        <v>20</v>
      </c>
      <c r="H590" s="7">
        <v>52820</v>
      </c>
      <c r="I590" s="5">
        <v>6866.6</v>
      </c>
      <c r="J590" s="5">
        <v>45953.4</v>
      </c>
      <c r="K590" s="7">
        <v>26410</v>
      </c>
      <c r="L590" s="5">
        <v>19543.400000000001</v>
      </c>
      <c r="M590" s="1">
        <v>41671</v>
      </c>
      <c r="N590">
        <v>2</v>
      </c>
      <c r="O590" t="s">
        <v>19</v>
      </c>
      <c r="P590" t="s">
        <v>12</v>
      </c>
      <c r="Q590" s="5">
        <f>tbl_financials[[#This Row],[Net_Sales]]</f>
        <v>45953.4</v>
      </c>
      <c r="R590" s="5">
        <f>ROUND(tbl_financials[[#This Row],[Revenue]]*(0.12+MOD(ROW(),7)/100),2)</f>
        <v>6433.48</v>
      </c>
      <c r="S590" s="7">
        <f t="shared" si="9"/>
        <v>1290</v>
      </c>
      <c r="T590" s="5">
        <f>tbl_financials[[#This Row],[Gross_Profit]]-tbl_financials[[#This Row],[Operating_Expenses]]+tbl_financials[[#This Row],[Other_Income]]</f>
        <v>14399.920000000002</v>
      </c>
      <c r="U590" s="11">
        <f>IF(tbl_financials[[#This Row],[Revenue]]=0,0,tbl_financials[[#This Row],[Net_Profit]]/tbl_financials[[#This Row],[Revenue]])</f>
        <v>0.31335918560976994</v>
      </c>
      <c r="V590" s="11" t="str">
        <f>tbl_financials[[#This Row],[Month_Name]] &amp; "_" &amp; tbl_financials[[#This Row],[Year]]</f>
        <v>February_2014</v>
      </c>
      <c r="W590" s="11" t="str">
        <f>tbl_financials[[#This Row],[Month_Name]] &amp; "_" &amp; (tbl_financials[[#This Row],[Year]]-1)</f>
        <v>February_2013</v>
      </c>
      <c r="X59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91" spans="1:24" x14ac:dyDescent="0.3">
      <c r="A591" t="s">
        <v>7</v>
      </c>
      <c r="B591" t="s">
        <v>16</v>
      </c>
      <c r="C591" t="s">
        <v>34</v>
      </c>
      <c r="D591" t="s">
        <v>41</v>
      </c>
      <c r="E591" s="9">
        <v>2708</v>
      </c>
      <c r="F591" s="7">
        <v>10</v>
      </c>
      <c r="G591" s="7">
        <v>20</v>
      </c>
      <c r="H591" s="7">
        <v>54160</v>
      </c>
      <c r="I591" s="5">
        <v>7040.8</v>
      </c>
      <c r="J591" s="5">
        <v>47119.199999999997</v>
      </c>
      <c r="K591" s="7">
        <v>27080</v>
      </c>
      <c r="L591" s="5">
        <v>20039.199999999899</v>
      </c>
      <c r="M591" s="1">
        <v>41671</v>
      </c>
      <c r="N591">
        <v>2</v>
      </c>
      <c r="O591" t="s">
        <v>19</v>
      </c>
      <c r="P591" t="s">
        <v>12</v>
      </c>
      <c r="Q591" s="5">
        <f>tbl_financials[[#This Row],[Net_Sales]]</f>
        <v>47119.199999999997</v>
      </c>
      <c r="R591" s="5">
        <f>ROUND(tbl_financials[[#This Row],[Revenue]]*(0.12+MOD(ROW(),7)/100),2)</f>
        <v>7067.88</v>
      </c>
      <c r="S591" s="7">
        <f t="shared" si="9"/>
        <v>1321</v>
      </c>
      <c r="T591" s="5">
        <f>tbl_financials[[#This Row],[Gross_Profit]]-tbl_financials[[#This Row],[Operating_Expenses]]+tbl_financials[[#This Row],[Other_Income]]</f>
        <v>14292.319999999898</v>
      </c>
      <c r="U591" s="11">
        <f>IF(tbl_financials[[#This Row],[Revenue]]=0,0,tbl_financials[[#This Row],[Net_Profit]]/tbl_financials[[#This Row],[Revenue]])</f>
        <v>0.30332263705665419</v>
      </c>
      <c r="V591" s="11" t="str">
        <f>tbl_financials[[#This Row],[Month_Name]] &amp; "_" &amp; tbl_financials[[#This Row],[Year]]</f>
        <v>February_2014</v>
      </c>
      <c r="W591" s="11" t="str">
        <f>tbl_financials[[#This Row],[Month_Name]] &amp; "_" &amp; (tbl_financials[[#This Row],[Year]]-1)</f>
        <v>February_2013</v>
      </c>
      <c r="X59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92" spans="1:24" x14ac:dyDescent="0.3">
      <c r="A592" t="s">
        <v>7</v>
      </c>
      <c r="B592" t="s">
        <v>13</v>
      </c>
      <c r="C592" t="s">
        <v>34</v>
      </c>
      <c r="D592" t="s">
        <v>41</v>
      </c>
      <c r="E592" s="9">
        <v>2632</v>
      </c>
      <c r="F592" s="7">
        <v>10</v>
      </c>
      <c r="G592" s="7">
        <v>350</v>
      </c>
      <c r="H592" s="7">
        <v>921200</v>
      </c>
      <c r="I592" s="5">
        <v>119756</v>
      </c>
      <c r="J592" s="5">
        <v>801444</v>
      </c>
      <c r="K592" s="7">
        <v>684320</v>
      </c>
      <c r="L592" s="5">
        <v>117124</v>
      </c>
      <c r="M592" s="1">
        <v>41791</v>
      </c>
      <c r="N592">
        <v>6</v>
      </c>
      <c r="O592" t="s">
        <v>23</v>
      </c>
      <c r="P592" t="s">
        <v>12</v>
      </c>
      <c r="Q592" s="5">
        <f>tbl_financials[[#This Row],[Net_Sales]]</f>
        <v>801444</v>
      </c>
      <c r="R592" s="5">
        <f>ROUND(tbl_financials[[#This Row],[Revenue]]*(0.12+MOD(ROW(),7)/100),2)</f>
        <v>128231.03999999999</v>
      </c>
      <c r="S592" s="7">
        <f t="shared" si="9"/>
        <v>1352</v>
      </c>
      <c r="T592" s="5">
        <f>tbl_financials[[#This Row],[Gross_Profit]]-tbl_financials[[#This Row],[Operating_Expenses]]+tbl_financials[[#This Row],[Other_Income]]</f>
        <v>-9755.0399999999936</v>
      </c>
      <c r="U592" s="11">
        <f>IF(tbl_financials[[#This Row],[Revenue]]=0,0,tbl_financials[[#This Row],[Net_Profit]]/tbl_financials[[#This Row],[Revenue]])</f>
        <v>-1.217182984712593E-2</v>
      </c>
      <c r="V592" s="11" t="str">
        <f>tbl_financials[[#This Row],[Month_Name]] &amp; "_" &amp; tbl_financials[[#This Row],[Year]]</f>
        <v>June_2014</v>
      </c>
      <c r="W592" s="11" t="str">
        <f>tbl_financials[[#This Row],[Month_Name]] &amp; "_" &amp; (tbl_financials[[#This Row],[Year]]-1)</f>
        <v>June_2013</v>
      </c>
      <c r="X59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93" spans="1:24" x14ac:dyDescent="0.3">
      <c r="A593" t="s">
        <v>6</v>
      </c>
      <c r="B593" t="s">
        <v>13</v>
      </c>
      <c r="C593" t="s">
        <v>34</v>
      </c>
      <c r="D593" t="s">
        <v>41</v>
      </c>
      <c r="E593" s="9">
        <v>1583</v>
      </c>
      <c r="F593" s="7">
        <v>10</v>
      </c>
      <c r="G593" s="7">
        <v>125</v>
      </c>
      <c r="H593" s="7">
        <v>197875</v>
      </c>
      <c r="I593" s="5">
        <v>25723.75</v>
      </c>
      <c r="J593" s="5">
        <v>172151.25</v>
      </c>
      <c r="K593" s="7">
        <v>189960</v>
      </c>
      <c r="L593" s="5">
        <v>-17808.75</v>
      </c>
      <c r="M593" s="1">
        <v>41791</v>
      </c>
      <c r="N593">
        <v>6</v>
      </c>
      <c r="O593" t="s">
        <v>23</v>
      </c>
      <c r="P593" t="s">
        <v>12</v>
      </c>
      <c r="Q593" s="5">
        <f>tbl_financials[[#This Row],[Net_Sales]]</f>
        <v>172151.25</v>
      </c>
      <c r="R593" s="5">
        <f>ROUND(tbl_financials[[#This Row],[Revenue]]*(0.12+MOD(ROW(),7)/100),2)</f>
        <v>29265.71</v>
      </c>
      <c r="S593" s="7">
        <f t="shared" si="9"/>
        <v>1383</v>
      </c>
      <c r="T593" s="5">
        <f>tbl_financials[[#This Row],[Gross_Profit]]-tbl_financials[[#This Row],[Operating_Expenses]]+tbl_financials[[#This Row],[Other_Income]]</f>
        <v>-45691.46</v>
      </c>
      <c r="U593" s="11">
        <f>IF(tbl_financials[[#This Row],[Revenue]]=0,0,tbl_financials[[#This Row],[Net_Profit]]/tbl_financials[[#This Row],[Revenue]])</f>
        <v>-0.26541462812497729</v>
      </c>
      <c r="V593" s="11" t="str">
        <f>tbl_financials[[#This Row],[Month_Name]] &amp; "_" &amp; tbl_financials[[#This Row],[Year]]</f>
        <v>June_2014</v>
      </c>
      <c r="W593" s="11" t="str">
        <f>tbl_financials[[#This Row],[Month_Name]] &amp; "_" &amp; (tbl_financials[[#This Row],[Year]]-1)</f>
        <v>June_2013</v>
      </c>
      <c r="X59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94" spans="1:24" x14ac:dyDescent="0.3">
      <c r="A594" t="s">
        <v>8</v>
      </c>
      <c r="B594" t="s">
        <v>17</v>
      </c>
      <c r="C594" t="s">
        <v>34</v>
      </c>
      <c r="D594" t="s">
        <v>41</v>
      </c>
      <c r="E594" s="9">
        <v>571</v>
      </c>
      <c r="F594" s="7">
        <v>10</v>
      </c>
      <c r="G594" s="7">
        <v>12</v>
      </c>
      <c r="H594" s="7">
        <v>6852</v>
      </c>
      <c r="I594" s="5">
        <v>890.76</v>
      </c>
      <c r="J594" s="5">
        <v>5961.24</v>
      </c>
      <c r="K594" s="7">
        <v>1713</v>
      </c>
      <c r="L594" s="5">
        <v>4248.24</v>
      </c>
      <c r="M594" s="1">
        <v>41821</v>
      </c>
      <c r="N594">
        <v>7</v>
      </c>
      <c r="O594" t="s">
        <v>24</v>
      </c>
      <c r="P594" t="s">
        <v>12</v>
      </c>
      <c r="Q594" s="5">
        <f>tbl_financials[[#This Row],[Net_Sales]]</f>
        <v>5961.24</v>
      </c>
      <c r="R594" s="5">
        <f>ROUND(tbl_financials[[#This Row],[Revenue]]*(0.12+MOD(ROW(),7)/100),2)</f>
        <v>1073.02</v>
      </c>
      <c r="S594" s="7">
        <f t="shared" si="9"/>
        <v>1414</v>
      </c>
      <c r="T594" s="5">
        <f>tbl_financials[[#This Row],[Gross_Profit]]-tbl_financials[[#This Row],[Operating_Expenses]]+tbl_financials[[#This Row],[Other_Income]]</f>
        <v>4589.2199999999993</v>
      </c>
      <c r="U594" s="11">
        <f>IF(tbl_financials[[#This Row],[Revenue]]=0,0,tbl_financials[[#This Row],[Net_Profit]]/tbl_financials[[#This Row],[Revenue]])</f>
        <v>0.76984318698794207</v>
      </c>
      <c r="V594" s="11" t="str">
        <f>tbl_financials[[#This Row],[Month_Name]] &amp; "_" &amp; tbl_financials[[#This Row],[Year]]</f>
        <v>July_2014</v>
      </c>
      <c r="W594" s="11" t="str">
        <f>tbl_financials[[#This Row],[Month_Name]] &amp; "_" &amp; (tbl_financials[[#This Row],[Year]]-1)</f>
        <v>July_2013</v>
      </c>
      <c r="X59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95" spans="1:24" x14ac:dyDescent="0.3">
      <c r="A595" t="s">
        <v>7</v>
      </c>
      <c r="B595" t="s">
        <v>15</v>
      </c>
      <c r="C595" t="s">
        <v>34</v>
      </c>
      <c r="D595" t="s">
        <v>41</v>
      </c>
      <c r="E595" s="9">
        <v>2696</v>
      </c>
      <c r="F595" s="7">
        <v>10</v>
      </c>
      <c r="G595" s="7">
        <v>7</v>
      </c>
      <c r="H595" s="7">
        <v>18872</v>
      </c>
      <c r="I595" s="5">
        <v>2453.36</v>
      </c>
      <c r="J595" s="5">
        <v>16418.64</v>
      </c>
      <c r="K595" s="7">
        <v>13480</v>
      </c>
      <c r="L595" s="5">
        <v>2938.6399999999899</v>
      </c>
      <c r="M595" s="1">
        <v>41852</v>
      </c>
      <c r="N595">
        <v>8</v>
      </c>
      <c r="O595" t="s">
        <v>25</v>
      </c>
      <c r="P595" t="s">
        <v>12</v>
      </c>
      <c r="Q595" s="5">
        <f>tbl_financials[[#This Row],[Net_Sales]]</f>
        <v>16418.64</v>
      </c>
      <c r="R595" s="5">
        <f>ROUND(tbl_financials[[#This Row],[Revenue]]*(0.12+MOD(ROW(),7)/100),2)</f>
        <v>1970.24</v>
      </c>
      <c r="S595" s="7">
        <f t="shared" si="9"/>
        <v>1445</v>
      </c>
      <c r="T595" s="5">
        <f>tbl_financials[[#This Row],[Gross_Profit]]-tbl_financials[[#This Row],[Operating_Expenses]]+tbl_financials[[#This Row],[Other_Income]]</f>
        <v>2413.3999999999896</v>
      </c>
      <c r="U595" s="11">
        <f>IF(tbl_financials[[#This Row],[Revenue]]=0,0,tbl_financials[[#This Row],[Net_Profit]]/tbl_financials[[#This Row],[Revenue]])</f>
        <v>0.14699146823366549</v>
      </c>
      <c r="V595" s="11" t="str">
        <f>tbl_financials[[#This Row],[Month_Name]] &amp; "_" &amp; tbl_financials[[#This Row],[Year]]</f>
        <v>August_2014</v>
      </c>
      <c r="W595" s="11" t="str">
        <f>tbl_financials[[#This Row],[Month_Name]] &amp; "_" &amp; (tbl_financials[[#This Row],[Year]]-1)</f>
        <v>August_2013</v>
      </c>
      <c r="X59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596" spans="1:24" x14ac:dyDescent="0.3">
      <c r="A596" t="s">
        <v>5</v>
      </c>
      <c r="B596" t="s">
        <v>13</v>
      </c>
      <c r="C596" t="s">
        <v>34</v>
      </c>
      <c r="D596" t="s">
        <v>41</v>
      </c>
      <c r="E596" s="9">
        <v>1565</v>
      </c>
      <c r="F596" s="7">
        <v>10</v>
      </c>
      <c r="G596" s="7">
        <v>15</v>
      </c>
      <c r="H596" s="7">
        <v>23475</v>
      </c>
      <c r="I596" s="5">
        <v>3051.75</v>
      </c>
      <c r="J596" s="5">
        <v>20423.25</v>
      </c>
      <c r="K596" s="7">
        <v>15650</v>
      </c>
      <c r="L596" s="5">
        <v>4773.25</v>
      </c>
      <c r="M596" s="1">
        <v>41913</v>
      </c>
      <c r="N596">
        <v>10</v>
      </c>
      <c r="O596" t="s">
        <v>27</v>
      </c>
      <c r="P596" t="s">
        <v>12</v>
      </c>
      <c r="Q596" s="5">
        <f>tbl_financials[[#This Row],[Net_Sales]]</f>
        <v>20423.25</v>
      </c>
      <c r="R596" s="5">
        <f>ROUND(tbl_financials[[#This Row],[Revenue]]*(0.12+MOD(ROW(),7)/100),2)</f>
        <v>2655.02</v>
      </c>
      <c r="S596" s="7">
        <f t="shared" si="9"/>
        <v>1476</v>
      </c>
      <c r="T596" s="5">
        <f>tbl_financials[[#This Row],[Gross_Profit]]-tbl_financials[[#This Row],[Operating_Expenses]]+tbl_financials[[#This Row],[Other_Income]]</f>
        <v>3594.23</v>
      </c>
      <c r="U596" s="11">
        <f>IF(tbl_financials[[#This Row],[Revenue]]=0,0,tbl_financials[[#This Row],[Net_Profit]]/tbl_financials[[#This Row],[Revenue]])</f>
        <v>0.17598717148348084</v>
      </c>
      <c r="V596" s="11" t="str">
        <f>tbl_financials[[#This Row],[Month_Name]] &amp; "_" &amp; tbl_financials[[#This Row],[Year]]</f>
        <v>October_2014</v>
      </c>
      <c r="W596" s="11" t="str">
        <f>tbl_financials[[#This Row],[Month_Name]] &amp; "_" &amp; (tbl_financials[[#This Row],[Year]]-1)</f>
        <v>October_2013</v>
      </c>
      <c r="X59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-0.52641739130434784</v>
      </c>
    </row>
    <row r="597" spans="1:24" x14ac:dyDescent="0.3">
      <c r="A597" t="s">
        <v>7</v>
      </c>
      <c r="B597" t="s">
        <v>13</v>
      </c>
      <c r="C597" t="s">
        <v>34</v>
      </c>
      <c r="D597" t="s">
        <v>41</v>
      </c>
      <c r="E597" s="9">
        <v>1249</v>
      </c>
      <c r="F597" s="7">
        <v>10</v>
      </c>
      <c r="G597" s="7">
        <v>20</v>
      </c>
      <c r="H597" s="7">
        <v>24980</v>
      </c>
      <c r="I597" s="5">
        <v>3247.4</v>
      </c>
      <c r="J597" s="5">
        <v>21732.6</v>
      </c>
      <c r="K597" s="7">
        <v>12490</v>
      </c>
      <c r="L597" s="5">
        <v>9242.5999999999894</v>
      </c>
      <c r="M597" s="1">
        <v>41913</v>
      </c>
      <c r="N597">
        <v>10</v>
      </c>
      <c r="O597" t="s">
        <v>27</v>
      </c>
      <c r="P597" t="s">
        <v>12</v>
      </c>
      <c r="Q597" s="5">
        <f>tbl_financials[[#This Row],[Net_Sales]]</f>
        <v>21732.6</v>
      </c>
      <c r="R597" s="5">
        <f>ROUND(tbl_financials[[#This Row],[Revenue]]*(0.12+MOD(ROW(),7)/100),2)</f>
        <v>3042.56</v>
      </c>
      <c r="S597" s="7">
        <f t="shared" si="9"/>
        <v>1507</v>
      </c>
      <c r="T597" s="5">
        <f>tbl_financials[[#This Row],[Gross_Profit]]-tbl_financials[[#This Row],[Operating_Expenses]]+tbl_financials[[#This Row],[Other_Income]]</f>
        <v>7707.03999999999</v>
      </c>
      <c r="U597" s="11">
        <f>IF(tbl_financials[[#This Row],[Revenue]]=0,0,tbl_financials[[#This Row],[Net_Profit]]/tbl_financials[[#This Row],[Revenue]])</f>
        <v>0.35463037096343697</v>
      </c>
      <c r="V597" s="11" t="str">
        <f>tbl_financials[[#This Row],[Month_Name]] &amp; "_" &amp; tbl_financials[[#This Row],[Year]]</f>
        <v>October_2014</v>
      </c>
      <c r="W597" s="11" t="str">
        <f>tbl_financials[[#This Row],[Month_Name]] &amp; "_" &amp; (tbl_financials[[#This Row],[Year]]-1)</f>
        <v>October_2013</v>
      </c>
      <c r="X59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-0.49605565217391306</v>
      </c>
    </row>
    <row r="598" spans="1:24" x14ac:dyDescent="0.3">
      <c r="A598" t="s">
        <v>7</v>
      </c>
      <c r="B598" t="s">
        <v>16</v>
      </c>
      <c r="C598" t="s">
        <v>34</v>
      </c>
      <c r="D598" t="s">
        <v>41</v>
      </c>
      <c r="E598" s="9">
        <v>357</v>
      </c>
      <c r="F598" s="7">
        <v>10</v>
      </c>
      <c r="G598" s="7">
        <v>350</v>
      </c>
      <c r="H598" s="7">
        <v>124950</v>
      </c>
      <c r="I598" s="5">
        <v>16243.5</v>
      </c>
      <c r="J598" s="5">
        <v>108706.5</v>
      </c>
      <c r="K598" s="7">
        <v>92820</v>
      </c>
      <c r="L598" s="5">
        <v>15886.5</v>
      </c>
      <c r="M598" s="1">
        <v>41944</v>
      </c>
      <c r="N598">
        <v>11</v>
      </c>
      <c r="O598" t="s">
        <v>28</v>
      </c>
      <c r="P598" t="s">
        <v>12</v>
      </c>
      <c r="Q598" s="5">
        <f>tbl_financials[[#This Row],[Net_Sales]]</f>
        <v>108706.5</v>
      </c>
      <c r="R598" s="5">
        <f>ROUND(tbl_financials[[#This Row],[Revenue]]*(0.12+MOD(ROW(),7)/100),2)</f>
        <v>16305.98</v>
      </c>
      <c r="S598" s="7">
        <f t="shared" si="9"/>
        <v>1538</v>
      </c>
      <c r="T598" s="5">
        <f>tbl_financials[[#This Row],[Gross_Profit]]-tbl_financials[[#This Row],[Operating_Expenses]]+tbl_financials[[#This Row],[Other_Income]]</f>
        <v>1118.5200000000004</v>
      </c>
      <c r="U598" s="11">
        <f>IF(tbl_financials[[#This Row],[Revenue]]=0,0,tbl_financials[[#This Row],[Net_Profit]]/tbl_financials[[#This Row],[Revenue]])</f>
        <v>1.0289357122159212E-2</v>
      </c>
      <c r="V598" s="11" t="str">
        <f>tbl_financials[[#This Row],[Month_Name]] &amp; "_" &amp; tbl_financials[[#This Row],[Year]]</f>
        <v>November_2014</v>
      </c>
      <c r="W598" s="11" t="str">
        <f>tbl_financials[[#This Row],[Month_Name]] &amp; "_" &amp; (tbl_financials[[#This Row],[Year]]-1)</f>
        <v>November_2013</v>
      </c>
      <c r="X59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-0.81994782608695649</v>
      </c>
    </row>
    <row r="599" spans="1:24" x14ac:dyDescent="0.3">
      <c r="A599" t="s">
        <v>8</v>
      </c>
      <c r="B599" t="s">
        <v>16</v>
      </c>
      <c r="C599" t="s">
        <v>34</v>
      </c>
      <c r="D599" t="s">
        <v>41</v>
      </c>
      <c r="E599" s="9">
        <v>1013</v>
      </c>
      <c r="F599" s="7">
        <v>10</v>
      </c>
      <c r="G599" s="7">
        <v>12</v>
      </c>
      <c r="H599" s="7">
        <v>12156</v>
      </c>
      <c r="I599" s="5">
        <v>1580.28</v>
      </c>
      <c r="J599" s="5">
        <v>10575.72</v>
      </c>
      <c r="K599" s="7">
        <v>3039</v>
      </c>
      <c r="L599" s="5">
        <v>7536.7199999999903</v>
      </c>
      <c r="M599" s="1">
        <v>41974</v>
      </c>
      <c r="N599">
        <v>12</v>
      </c>
      <c r="O599" t="s">
        <v>29</v>
      </c>
      <c r="P599" t="s">
        <v>12</v>
      </c>
      <c r="Q599" s="5">
        <f>tbl_financials[[#This Row],[Net_Sales]]</f>
        <v>10575.72</v>
      </c>
      <c r="R599" s="5">
        <f>ROUND(tbl_financials[[#This Row],[Revenue]]*(0.12+MOD(ROW(),7)/100),2)</f>
        <v>1692.12</v>
      </c>
      <c r="S599" s="7">
        <f t="shared" si="9"/>
        <v>1569</v>
      </c>
      <c r="T599" s="5">
        <f>tbl_financials[[#This Row],[Gross_Profit]]-tbl_financials[[#This Row],[Operating_Expenses]]+tbl_financials[[#This Row],[Other_Income]]</f>
        <v>7413.5999999999904</v>
      </c>
      <c r="U599" s="11">
        <f>IF(tbl_financials[[#This Row],[Revenue]]=0,0,tbl_financials[[#This Row],[Net_Profit]]/tbl_financials[[#This Row],[Revenue]])</f>
        <v>0.70100191759993558</v>
      </c>
      <c r="V599" s="11" t="str">
        <f>tbl_financials[[#This Row],[Month_Name]] &amp; "_" &amp; tbl_financials[[#This Row],[Year]]</f>
        <v>December_2014</v>
      </c>
      <c r="W599" s="11" t="str">
        <f>tbl_financials[[#This Row],[Month_Name]] &amp; "_" &amp; (tbl_financials[[#This Row],[Year]]-1)</f>
        <v>December_2013</v>
      </c>
      <c r="X59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-0.67237546468401488</v>
      </c>
    </row>
    <row r="600" spans="1:24" x14ac:dyDescent="0.3">
      <c r="A600" t="s">
        <v>5</v>
      </c>
      <c r="B600" t="s">
        <v>15</v>
      </c>
      <c r="C600" t="s">
        <v>35</v>
      </c>
      <c r="D600" t="s">
        <v>41</v>
      </c>
      <c r="E600" s="9">
        <v>3997.5</v>
      </c>
      <c r="F600" s="7">
        <v>120</v>
      </c>
      <c r="G600" s="7">
        <v>15</v>
      </c>
      <c r="H600" s="7">
        <v>59962.5</v>
      </c>
      <c r="I600" s="5">
        <v>7795.125</v>
      </c>
      <c r="J600" s="5">
        <v>52167.375</v>
      </c>
      <c r="K600" s="7">
        <v>39975</v>
      </c>
      <c r="L600" s="5">
        <v>12192.375</v>
      </c>
      <c r="M600" s="1">
        <v>41640</v>
      </c>
      <c r="N600">
        <v>1</v>
      </c>
      <c r="O600" t="s">
        <v>18</v>
      </c>
      <c r="P600" t="s">
        <v>12</v>
      </c>
      <c r="Q600" s="5">
        <f>tbl_financials[[#This Row],[Net_Sales]]</f>
        <v>52167.375</v>
      </c>
      <c r="R600" s="5">
        <f>ROUND(tbl_financials[[#This Row],[Revenue]]*(0.12+MOD(ROW(),7)/100),2)</f>
        <v>8868.4500000000007</v>
      </c>
      <c r="S600" s="7">
        <f t="shared" si="9"/>
        <v>1600</v>
      </c>
      <c r="T600" s="5">
        <f>tbl_financials[[#This Row],[Gross_Profit]]-tbl_financials[[#This Row],[Operating_Expenses]]+tbl_financials[[#This Row],[Other_Income]]</f>
        <v>4923.9249999999993</v>
      </c>
      <c r="U600" s="11">
        <f>IF(tbl_financials[[#This Row],[Revenue]]=0,0,tbl_financials[[#This Row],[Net_Profit]]/tbl_financials[[#This Row],[Revenue]])</f>
        <v>9.4387057044752573E-2</v>
      </c>
      <c r="V600" s="11" t="str">
        <f>tbl_financials[[#This Row],[Month_Name]] &amp; "_" &amp; tbl_financials[[#This Row],[Year]]</f>
        <v>January_2014</v>
      </c>
      <c r="W600" s="11" t="str">
        <f>tbl_financials[[#This Row],[Month_Name]] &amp; "_" &amp; (tbl_financials[[#This Row],[Year]]-1)</f>
        <v>January_2013</v>
      </c>
      <c r="X60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01" spans="1:24" x14ac:dyDescent="0.3">
      <c r="A601" t="s">
        <v>7</v>
      </c>
      <c r="B601" t="s">
        <v>13</v>
      </c>
      <c r="C601" t="s">
        <v>35</v>
      </c>
      <c r="D601" t="s">
        <v>41</v>
      </c>
      <c r="E601" s="9">
        <v>2632</v>
      </c>
      <c r="F601" s="7">
        <v>120</v>
      </c>
      <c r="G601" s="7">
        <v>350</v>
      </c>
      <c r="H601" s="7">
        <v>921200</v>
      </c>
      <c r="I601" s="5">
        <v>119756</v>
      </c>
      <c r="J601" s="5">
        <v>801444</v>
      </c>
      <c r="K601" s="7">
        <v>684320</v>
      </c>
      <c r="L601" s="5">
        <v>117124</v>
      </c>
      <c r="M601" s="1">
        <v>41791</v>
      </c>
      <c r="N601">
        <v>6</v>
      </c>
      <c r="O601" t="s">
        <v>23</v>
      </c>
      <c r="P601" t="s">
        <v>12</v>
      </c>
      <c r="Q601" s="5">
        <f>tbl_financials[[#This Row],[Net_Sales]]</f>
        <v>801444</v>
      </c>
      <c r="R601" s="5">
        <f>ROUND(tbl_financials[[#This Row],[Revenue]]*(0.12+MOD(ROW(),7)/100),2)</f>
        <v>144259.92000000001</v>
      </c>
      <c r="S601" s="7">
        <f t="shared" si="9"/>
        <v>1631</v>
      </c>
      <c r="T601" s="5">
        <f>tbl_financials[[#This Row],[Gross_Profit]]-tbl_financials[[#This Row],[Operating_Expenses]]+tbl_financials[[#This Row],[Other_Income]]</f>
        <v>-25504.920000000013</v>
      </c>
      <c r="U601" s="11">
        <f>IF(tbl_financials[[#This Row],[Revenue]]=0,0,tbl_financials[[#This Row],[Net_Profit]]/tbl_financials[[#This Row],[Revenue]])</f>
        <v>-3.1823708206686944E-2</v>
      </c>
      <c r="V601" s="11" t="str">
        <f>tbl_financials[[#This Row],[Month_Name]] &amp; "_" &amp; tbl_financials[[#This Row],[Year]]</f>
        <v>June_2014</v>
      </c>
      <c r="W601" s="11" t="str">
        <f>tbl_financials[[#This Row],[Month_Name]] &amp; "_" &amp; (tbl_financials[[#This Row],[Year]]-1)</f>
        <v>June_2013</v>
      </c>
      <c r="X60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02" spans="1:24" x14ac:dyDescent="0.3">
      <c r="A602" t="s">
        <v>7</v>
      </c>
      <c r="B602" t="s">
        <v>15</v>
      </c>
      <c r="C602" t="s">
        <v>35</v>
      </c>
      <c r="D602" t="s">
        <v>41</v>
      </c>
      <c r="E602" s="9">
        <v>1190</v>
      </c>
      <c r="F602" s="7">
        <v>120</v>
      </c>
      <c r="G602" s="7">
        <v>7</v>
      </c>
      <c r="H602" s="7">
        <v>8330</v>
      </c>
      <c r="I602" s="5">
        <v>1082.9000000000001</v>
      </c>
      <c r="J602" s="5">
        <v>7247.1</v>
      </c>
      <c r="K602" s="7">
        <v>5950</v>
      </c>
      <c r="L602" s="5">
        <v>1297.0999999999999</v>
      </c>
      <c r="M602" s="1">
        <v>41791</v>
      </c>
      <c r="N602">
        <v>6</v>
      </c>
      <c r="O602" t="s">
        <v>23</v>
      </c>
      <c r="P602" t="s">
        <v>12</v>
      </c>
      <c r="Q602" s="5">
        <f>tbl_financials[[#This Row],[Net_Sales]]</f>
        <v>7247.1</v>
      </c>
      <c r="R602" s="5">
        <f>ROUND(tbl_financials[[#This Row],[Revenue]]*(0.12+MOD(ROW(),7)/100),2)</f>
        <v>869.65</v>
      </c>
      <c r="S602" s="7">
        <f t="shared" si="9"/>
        <v>1662</v>
      </c>
      <c r="T602" s="5">
        <f>tbl_financials[[#This Row],[Gross_Profit]]-tbl_financials[[#This Row],[Operating_Expenses]]+tbl_financials[[#This Row],[Other_Income]]</f>
        <v>2089.4499999999998</v>
      </c>
      <c r="U602" s="11">
        <f>IF(tbl_financials[[#This Row],[Revenue]]=0,0,tbl_financials[[#This Row],[Net_Profit]]/tbl_financials[[#This Row],[Revenue]])</f>
        <v>0.28831532613045213</v>
      </c>
      <c r="V602" s="11" t="str">
        <f>tbl_financials[[#This Row],[Month_Name]] &amp; "_" &amp; tbl_financials[[#This Row],[Year]]</f>
        <v>June_2014</v>
      </c>
      <c r="W602" s="11" t="str">
        <f>tbl_financials[[#This Row],[Month_Name]] &amp; "_" &amp; (tbl_financials[[#This Row],[Year]]-1)</f>
        <v>June_2013</v>
      </c>
      <c r="X60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03" spans="1:24" x14ac:dyDescent="0.3">
      <c r="A603" t="s">
        <v>8</v>
      </c>
      <c r="B603" t="s">
        <v>17</v>
      </c>
      <c r="C603" t="s">
        <v>35</v>
      </c>
      <c r="D603" t="s">
        <v>41</v>
      </c>
      <c r="E603" s="9">
        <v>604</v>
      </c>
      <c r="F603" s="7">
        <v>120</v>
      </c>
      <c r="G603" s="7">
        <v>12</v>
      </c>
      <c r="H603" s="7">
        <v>7248</v>
      </c>
      <c r="I603" s="5">
        <v>942.24</v>
      </c>
      <c r="J603" s="5">
        <v>6305.76</v>
      </c>
      <c r="K603" s="7">
        <v>1812</v>
      </c>
      <c r="L603" s="5">
        <v>4493.76</v>
      </c>
      <c r="M603" s="1">
        <v>41791</v>
      </c>
      <c r="N603">
        <v>6</v>
      </c>
      <c r="O603" t="s">
        <v>23</v>
      </c>
      <c r="P603" t="s">
        <v>12</v>
      </c>
      <c r="Q603" s="5">
        <f>tbl_financials[[#This Row],[Net_Sales]]</f>
        <v>6305.76</v>
      </c>
      <c r="R603" s="5">
        <f>ROUND(tbl_financials[[#This Row],[Revenue]]*(0.12+MOD(ROW(),7)/100),2)</f>
        <v>819.75</v>
      </c>
      <c r="S603" s="7">
        <f t="shared" si="9"/>
        <v>1693</v>
      </c>
      <c r="T603" s="5">
        <f>tbl_financials[[#This Row],[Gross_Profit]]-tbl_financials[[#This Row],[Operating_Expenses]]+tbl_financials[[#This Row],[Other_Income]]</f>
        <v>5367.01</v>
      </c>
      <c r="U603" s="11">
        <f>IF(tbl_financials[[#This Row],[Revenue]]=0,0,tbl_financials[[#This Row],[Net_Profit]]/tbl_financials[[#This Row],[Revenue]])</f>
        <v>0.85112817487503489</v>
      </c>
      <c r="V603" s="11" t="str">
        <f>tbl_financials[[#This Row],[Month_Name]] &amp; "_" &amp; tbl_financials[[#This Row],[Year]]</f>
        <v>June_2014</v>
      </c>
      <c r="W603" s="11" t="str">
        <f>tbl_financials[[#This Row],[Month_Name]] &amp; "_" &amp; (tbl_financials[[#This Row],[Year]]-1)</f>
        <v>June_2013</v>
      </c>
      <c r="X60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04" spans="1:24" x14ac:dyDescent="0.3">
      <c r="A604" t="s">
        <v>5</v>
      </c>
      <c r="B604" t="s">
        <v>16</v>
      </c>
      <c r="C604" t="s">
        <v>35</v>
      </c>
      <c r="D604" t="s">
        <v>41</v>
      </c>
      <c r="E604" s="9">
        <v>660</v>
      </c>
      <c r="F604" s="7">
        <v>120</v>
      </c>
      <c r="G604" s="7">
        <v>15</v>
      </c>
      <c r="H604" s="7">
        <v>9900</v>
      </c>
      <c r="I604" s="5">
        <v>1287</v>
      </c>
      <c r="J604" s="5">
        <v>8613</v>
      </c>
      <c r="K604" s="7">
        <v>6600</v>
      </c>
      <c r="L604" s="5">
        <v>2013</v>
      </c>
      <c r="M604" s="1">
        <v>41518</v>
      </c>
      <c r="N604">
        <v>9</v>
      </c>
      <c r="O604" t="s">
        <v>26</v>
      </c>
      <c r="P604" t="s">
        <v>11</v>
      </c>
      <c r="Q604" s="5">
        <f>tbl_financials[[#This Row],[Net_Sales]]</f>
        <v>8613</v>
      </c>
      <c r="R604" s="5">
        <f>ROUND(tbl_financials[[#This Row],[Revenue]]*(0.12+MOD(ROW(),7)/100),2)</f>
        <v>1205.82</v>
      </c>
      <c r="S604" s="7">
        <f t="shared" si="9"/>
        <v>1724</v>
      </c>
      <c r="T604" s="5">
        <f>tbl_financials[[#This Row],[Gross_Profit]]-tbl_financials[[#This Row],[Operating_Expenses]]+tbl_financials[[#This Row],[Other_Income]]</f>
        <v>2531.1800000000003</v>
      </c>
      <c r="U604" s="11">
        <f>IF(tbl_financials[[#This Row],[Revenue]]=0,0,tbl_financials[[#This Row],[Net_Profit]]/tbl_financials[[#This Row],[Revenue]])</f>
        <v>0.29387902008591665</v>
      </c>
      <c r="V604" s="11" t="str">
        <f>tbl_financials[[#This Row],[Month_Name]] &amp; "_" &amp; tbl_financials[[#This Row],[Year]]</f>
        <v>September_2013</v>
      </c>
      <c r="W604" s="11" t="str">
        <f>tbl_financials[[#This Row],[Month_Name]] &amp; "_" &amp; (tbl_financials[[#This Row],[Year]]-1)</f>
        <v>September_2012</v>
      </c>
      <c r="X60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05" spans="1:24" x14ac:dyDescent="0.3">
      <c r="A605" t="s">
        <v>8</v>
      </c>
      <c r="B605" t="s">
        <v>17</v>
      </c>
      <c r="C605" t="s">
        <v>35</v>
      </c>
      <c r="D605" t="s">
        <v>41</v>
      </c>
      <c r="E605" s="9">
        <v>410</v>
      </c>
      <c r="F605" s="7">
        <v>120</v>
      </c>
      <c r="G605" s="7">
        <v>12</v>
      </c>
      <c r="H605" s="7">
        <v>4920</v>
      </c>
      <c r="I605" s="5">
        <v>639.6</v>
      </c>
      <c r="J605" s="5">
        <v>4280.3999999999996</v>
      </c>
      <c r="K605" s="7">
        <v>1230</v>
      </c>
      <c r="L605" s="5">
        <v>3050.3999999999901</v>
      </c>
      <c r="M605" s="1">
        <v>41913</v>
      </c>
      <c r="N605">
        <v>10</v>
      </c>
      <c r="O605" t="s">
        <v>27</v>
      </c>
      <c r="P605" t="s">
        <v>12</v>
      </c>
      <c r="Q605" s="5">
        <f>tbl_financials[[#This Row],[Net_Sales]]</f>
        <v>4280.3999999999996</v>
      </c>
      <c r="R605" s="5">
        <f>ROUND(tbl_financials[[#This Row],[Revenue]]*(0.12+MOD(ROW(),7)/100),2)</f>
        <v>642.05999999999995</v>
      </c>
      <c r="S605" s="7">
        <f t="shared" si="9"/>
        <v>1755</v>
      </c>
      <c r="T605" s="5">
        <f>tbl_financials[[#This Row],[Gross_Profit]]-tbl_financials[[#This Row],[Operating_Expenses]]+tbl_financials[[#This Row],[Other_Income]]</f>
        <v>4163.3399999999901</v>
      </c>
      <c r="U605" s="11">
        <f>IF(tbl_financials[[#This Row],[Revenue]]=0,0,tbl_financials[[#This Row],[Net_Profit]]/tbl_financials[[#This Row],[Revenue]])</f>
        <v>0.9726520885898492</v>
      </c>
      <c r="V605" s="11" t="str">
        <f>tbl_financials[[#This Row],[Month_Name]] &amp; "_" &amp; tbl_financials[[#This Row],[Year]]</f>
        <v>October_2014</v>
      </c>
      <c r="W605" s="11" t="str">
        <f>tbl_financials[[#This Row],[Month_Name]] &amp; "_" &amp; (tbl_financials[[#This Row],[Year]]-1)</f>
        <v>October_2013</v>
      </c>
      <c r="X60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-0.90074434782608692</v>
      </c>
    </row>
    <row r="606" spans="1:24" x14ac:dyDescent="0.3">
      <c r="A606" t="s">
        <v>4</v>
      </c>
      <c r="B606" t="s">
        <v>17</v>
      </c>
      <c r="C606" t="s">
        <v>35</v>
      </c>
      <c r="D606" t="s">
        <v>41</v>
      </c>
      <c r="E606" s="9">
        <v>2605</v>
      </c>
      <c r="F606" s="7">
        <v>120</v>
      </c>
      <c r="G606" s="7">
        <v>300</v>
      </c>
      <c r="H606" s="7">
        <v>781500</v>
      </c>
      <c r="I606" s="5">
        <v>101595</v>
      </c>
      <c r="J606" s="5">
        <v>679905</v>
      </c>
      <c r="K606" s="7">
        <v>651250</v>
      </c>
      <c r="L606" s="5">
        <v>28655</v>
      </c>
      <c r="M606" s="1">
        <v>41579</v>
      </c>
      <c r="N606">
        <v>11</v>
      </c>
      <c r="O606" t="s">
        <v>28</v>
      </c>
      <c r="P606" t="s">
        <v>11</v>
      </c>
      <c r="Q606" s="5">
        <f>tbl_financials[[#This Row],[Net_Sales]]</f>
        <v>679905</v>
      </c>
      <c r="R606" s="5">
        <f>ROUND(tbl_financials[[#This Row],[Revenue]]*(0.12+MOD(ROW(),7)/100),2)</f>
        <v>108784.8</v>
      </c>
      <c r="S606" s="7">
        <f t="shared" si="9"/>
        <v>1786</v>
      </c>
      <c r="T606" s="5">
        <f>tbl_financials[[#This Row],[Gross_Profit]]-tbl_financials[[#This Row],[Operating_Expenses]]+tbl_financials[[#This Row],[Other_Income]]</f>
        <v>-78343.8</v>
      </c>
      <c r="U606" s="11">
        <f>IF(tbl_financials[[#This Row],[Revenue]]=0,0,tbl_financials[[#This Row],[Net_Profit]]/tbl_financials[[#This Row],[Revenue]])</f>
        <v>-0.11522756855737198</v>
      </c>
      <c r="V606" s="11" t="str">
        <f>tbl_financials[[#This Row],[Month_Name]] &amp; "_" &amp; tbl_financials[[#This Row],[Year]]</f>
        <v>November_2013</v>
      </c>
      <c r="W606" s="11" t="str">
        <f>tbl_financials[[#This Row],[Month_Name]] &amp; "_" &amp; (tbl_financials[[#This Row],[Year]]-1)</f>
        <v>November_2012</v>
      </c>
      <c r="X60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07" spans="1:24" x14ac:dyDescent="0.3">
      <c r="A607" t="s">
        <v>8</v>
      </c>
      <c r="B607" t="s">
        <v>16</v>
      </c>
      <c r="C607" t="s">
        <v>35</v>
      </c>
      <c r="D607" t="s">
        <v>41</v>
      </c>
      <c r="E607" s="9">
        <v>1013</v>
      </c>
      <c r="F607" s="7">
        <v>120</v>
      </c>
      <c r="G607" s="7">
        <v>12</v>
      </c>
      <c r="H607" s="7">
        <v>12156</v>
      </c>
      <c r="I607" s="5">
        <v>1580.28</v>
      </c>
      <c r="J607" s="5">
        <v>10575.72</v>
      </c>
      <c r="K607" s="7">
        <v>3039</v>
      </c>
      <c r="L607" s="5">
        <v>7536.7199999999903</v>
      </c>
      <c r="M607" s="1">
        <v>41974</v>
      </c>
      <c r="N607">
        <v>12</v>
      </c>
      <c r="O607" t="s">
        <v>29</v>
      </c>
      <c r="P607" t="s">
        <v>12</v>
      </c>
      <c r="Q607" s="5">
        <f>tbl_financials[[#This Row],[Net_Sales]]</f>
        <v>10575.72</v>
      </c>
      <c r="R607" s="5">
        <f>ROUND(tbl_financials[[#This Row],[Revenue]]*(0.12+MOD(ROW(),7)/100),2)</f>
        <v>1797.87</v>
      </c>
      <c r="S607" s="7">
        <f t="shared" si="9"/>
        <v>1817</v>
      </c>
      <c r="T607" s="5">
        <f>tbl_financials[[#This Row],[Gross_Profit]]-tbl_financials[[#This Row],[Operating_Expenses]]+tbl_financials[[#This Row],[Other_Income]]</f>
        <v>7555.8499999999904</v>
      </c>
      <c r="U607" s="11">
        <f>IF(tbl_financials[[#This Row],[Revenue]]=0,0,tbl_financials[[#This Row],[Net_Profit]]/tbl_financials[[#This Row],[Revenue]])</f>
        <v>0.71445253845600964</v>
      </c>
      <c r="V607" s="11" t="str">
        <f>tbl_financials[[#This Row],[Month_Name]] &amp; "_" &amp; tbl_financials[[#This Row],[Year]]</f>
        <v>December_2014</v>
      </c>
      <c r="W607" s="11" t="str">
        <f>tbl_financials[[#This Row],[Month_Name]] &amp; "_" &amp; (tbl_financials[[#This Row],[Year]]-1)</f>
        <v>December_2013</v>
      </c>
      <c r="X60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-0.67237546468401488</v>
      </c>
    </row>
    <row r="608" spans="1:24" x14ac:dyDescent="0.3">
      <c r="A608" t="s">
        <v>6</v>
      </c>
      <c r="B608" t="s">
        <v>13</v>
      </c>
      <c r="C608" t="s">
        <v>36</v>
      </c>
      <c r="D608" t="s">
        <v>41</v>
      </c>
      <c r="E608" s="9">
        <v>1583</v>
      </c>
      <c r="F608" s="7">
        <v>250</v>
      </c>
      <c r="G608" s="7">
        <v>125</v>
      </c>
      <c r="H608" s="7">
        <v>197875</v>
      </c>
      <c r="I608" s="5">
        <v>25723.75</v>
      </c>
      <c r="J608" s="5">
        <v>172151.25</v>
      </c>
      <c r="K608" s="7">
        <v>189960</v>
      </c>
      <c r="L608" s="5">
        <v>-17808.75</v>
      </c>
      <c r="M608" s="1">
        <v>41791</v>
      </c>
      <c r="N608">
        <v>6</v>
      </c>
      <c r="O608" t="s">
        <v>23</v>
      </c>
      <c r="P608" t="s">
        <v>12</v>
      </c>
      <c r="Q608" s="5">
        <f>tbl_financials[[#This Row],[Net_Sales]]</f>
        <v>172151.25</v>
      </c>
      <c r="R608" s="5">
        <f>ROUND(tbl_financials[[#This Row],[Revenue]]*(0.12+MOD(ROW(),7)/100),2)</f>
        <v>30987.23</v>
      </c>
      <c r="S608" s="7">
        <f t="shared" si="9"/>
        <v>1848</v>
      </c>
      <c r="T608" s="5">
        <f>tbl_financials[[#This Row],[Gross_Profit]]-tbl_financials[[#This Row],[Operating_Expenses]]+tbl_financials[[#This Row],[Other_Income]]</f>
        <v>-46947.979999999996</v>
      </c>
      <c r="U608" s="11">
        <f>IF(tbl_financials[[#This Row],[Revenue]]=0,0,tbl_financials[[#This Row],[Net_Profit]]/tbl_financials[[#This Row],[Revenue]])</f>
        <v>-0.27271355857131446</v>
      </c>
      <c r="V608" s="11" t="str">
        <f>tbl_financials[[#This Row],[Month_Name]] &amp; "_" &amp; tbl_financials[[#This Row],[Year]]</f>
        <v>June_2014</v>
      </c>
      <c r="W608" s="11" t="str">
        <f>tbl_financials[[#This Row],[Month_Name]] &amp; "_" &amp; (tbl_financials[[#This Row],[Year]]-1)</f>
        <v>June_2013</v>
      </c>
      <c r="X60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09" spans="1:24" x14ac:dyDescent="0.3">
      <c r="A609" t="s">
        <v>5</v>
      </c>
      <c r="B609" t="s">
        <v>13</v>
      </c>
      <c r="C609" t="s">
        <v>36</v>
      </c>
      <c r="D609" t="s">
        <v>41</v>
      </c>
      <c r="E609" s="9">
        <v>1565</v>
      </c>
      <c r="F609" s="7">
        <v>250</v>
      </c>
      <c r="G609" s="7">
        <v>15</v>
      </c>
      <c r="H609" s="7">
        <v>23475</v>
      </c>
      <c r="I609" s="5">
        <v>3051.75</v>
      </c>
      <c r="J609" s="5">
        <v>20423.25</v>
      </c>
      <c r="K609" s="7">
        <v>15650</v>
      </c>
      <c r="L609" s="5">
        <v>4773.25</v>
      </c>
      <c r="M609" s="1">
        <v>41913</v>
      </c>
      <c r="N609">
        <v>10</v>
      </c>
      <c r="O609" t="s">
        <v>27</v>
      </c>
      <c r="P609" t="s">
        <v>12</v>
      </c>
      <c r="Q609" s="5">
        <f>tbl_financials[[#This Row],[Net_Sales]]</f>
        <v>20423.25</v>
      </c>
      <c r="R609" s="5">
        <f>ROUND(tbl_financials[[#This Row],[Revenue]]*(0.12+MOD(ROW(),7)/100),2)</f>
        <v>2450.79</v>
      </c>
      <c r="S609" s="7">
        <f t="shared" si="9"/>
        <v>1879</v>
      </c>
      <c r="T609" s="5">
        <f>tbl_financials[[#This Row],[Gross_Profit]]-tbl_financials[[#This Row],[Operating_Expenses]]+tbl_financials[[#This Row],[Other_Income]]</f>
        <v>4201.46</v>
      </c>
      <c r="U609" s="11">
        <f>IF(tbl_financials[[#This Row],[Revenue]]=0,0,tbl_financials[[#This Row],[Net_Profit]]/tbl_financials[[#This Row],[Revenue]])</f>
        <v>0.20571946188779944</v>
      </c>
      <c r="V609" s="11" t="str">
        <f>tbl_financials[[#This Row],[Month_Name]] &amp; "_" &amp; tbl_financials[[#This Row],[Year]]</f>
        <v>October_2014</v>
      </c>
      <c r="W609" s="11" t="str">
        <f>tbl_financials[[#This Row],[Month_Name]] &amp; "_" &amp; (tbl_financials[[#This Row],[Year]]-1)</f>
        <v>October_2013</v>
      </c>
      <c r="X60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-0.52641739130434784</v>
      </c>
    </row>
    <row r="610" spans="1:24" x14ac:dyDescent="0.3">
      <c r="A610" t="s">
        <v>6</v>
      </c>
      <c r="B610" t="s">
        <v>13</v>
      </c>
      <c r="C610" t="s">
        <v>37</v>
      </c>
      <c r="D610" t="s">
        <v>41</v>
      </c>
      <c r="E610" s="9">
        <v>1659</v>
      </c>
      <c r="F610" s="7">
        <v>260</v>
      </c>
      <c r="G610" s="7">
        <v>125</v>
      </c>
      <c r="H610" s="7">
        <v>207375</v>
      </c>
      <c r="I610" s="5">
        <v>26958.75</v>
      </c>
      <c r="J610" s="5">
        <v>180416.25</v>
      </c>
      <c r="K610" s="7">
        <v>199080</v>
      </c>
      <c r="L610" s="5">
        <v>-18663.75</v>
      </c>
      <c r="M610" s="1">
        <v>41640</v>
      </c>
      <c r="N610">
        <v>1</v>
      </c>
      <c r="O610" t="s">
        <v>18</v>
      </c>
      <c r="P610" t="s">
        <v>12</v>
      </c>
      <c r="Q610" s="5">
        <f>tbl_financials[[#This Row],[Net_Sales]]</f>
        <v>180416.25</v>
      </c>
      <c r="R610" s="5">
        <f>ROUND(tbl_financials[[#This Row],[Revenue]]*(0.12+MOD(ROW(),7)/100),2)</f>
        <v>23454.11</v>
      </c>
      <c r="S610" s="7">
        <f t="shared" si="9"/>
        <v>1910</v>
      </c>
      <c r="T610" s="5">
        <f>tbl_financials[[#This Row],[Gross_Profit]]-tbl_financials[[#This Row],[Operating_Expenses]]+tbl_financials[[#This Row],[Other_Income]]</f>
        <v>-40207.86</v>
      </c>
      <c r="U610" s="11">
        <f>IF(tbl_financials[[#This Row],[Revenue]]=0,0,tbl_financials[[#This Row],[Net_Profit]]/tbl_financials[[#This Row],[Revenue]])</f>
        <v>-0.22286163247490179</v>
      </c>
      <c r="V610" s="11" t="str">
        <f>tbl_financials[[#This Row],[Month_Name]] &amp; "_" &amp; tbl_financials[[#This Row],[Year]]</f>
        <v>January_2014</v>
      </c>
      <c r="W610" s="11" t="str">
        <f>tbl_financials[[#This Row],[Month_Name]] &amp; "_" &amp; (tbl_financials[[#This Row],[Year]]-1)</f>
        <v>January_2013</v>
      </c>
      <c r="X61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11" spans="1:24" x14ac:dyDescent="0.3">
      <c r="A611" t="s">
        <v>7</v>
      </c>
      <c r="B611" t="s">
        <v>15</v>
      </c>
      <c r="C611" t="s">
        <v>37</v>
      </c>
      <c r="D611" t="s">
        <v>41</v>
      </c>
      <c r="E611" s="9">
        <v>1190</v>
      </c>
      <c r="F611" s="7">
        <v>260</v>
      </c>
      <c r="G611" s="7">
        <v>7</v>
      </c>
      <c r="H611" s="7">
        <v>8330</v>
      </c>
      <c r="I611" s="5">
        <v>1082.9000000000001</v>
      </c>
      <c r="J611" s="5">
        <v>7247.1</v>
      </c>
      <c r="K611" s="7">
        <v>5950</v>
      </c>
      <c r="L611" s="5">
        <v>1297.0999999999999</v>
      </c>
      <c r="M611" s="1">
        <v>41791</v>
      </c>
      <c r="N611">
        <v>6</v>
      </c>
      <c r="O611" t="s">
        <v>23</v>
      </c>
      <c r="P611" t="s">
        <v>12</v>
      </c>
      <c r="Q611" s="5">
        <f>tbl_financials[[#This Row],[Net_Sales]]</f>
        <v>7247.1</v>
      </c>
      <c r="R611" s="5">
        <f>ROUND(tbl_financials[[#This Row],[Revenue]]*(0.12+MOD(ROW(),7)/100),2)</f>
        <v>1014.59</v>
      </c>
      <c r="S611" s="7">
        <f t="shared" si="9"/>
        <v>1941</v>
      </c>
      <c r="T611" s="5">
        <f>tbl_financials[[#This Row],[Gross_Profit]]-tbl_financials[[#This Row],[Operating_Expenses]]+tbl_financials[[#This Row],[Other_Income]]</f>
        <v>2223.5099999999998</v>
      </c>
      <c r="U611" s="11">
        <f>IF(tbl_financials[[#This Row],[Revenue]]=0,0,tbl_financials[[#This Row],[Net_Profit]]/tbl_financials[[#This Row],[Revenue]])</f>
        <v>0.30681375998675325</v>
      </c>
      <c r="V611" s="11" t="str">
        <f>tbl_financials[[#This Row],[Month_Name]] &amp; "_" &amp; tbl_financials[[#This Row],[Year]]</f>
        <v>June_2014</v>
      </c>
      <c r="W611" s="11" t="str">
        <f>tbl_financials[[#This Row],[Month_Name]] &amp; "_" &amp; (tbl_financials[[#This Row],[Year]]-1)</f>
        <v>June_2013</v>
      </c>
      <c r="X61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12" spans="1:24" x14ac:dyDescent="0.3">
      <c r="A612" t="s">
        <v>8</v>
      </c>
      <c r="B612" t="s">
        <v>17</v>
      </c>
      <c r="C612" t="s">
        <v>37</v>
      </c>
      <c r="D612" t="s">
        <v>41</v>
      </c>
      <c r="E612" s="9">
        <v>410</v>
      </c>
      <c r="F612" s="7">
        <v>260</v>
      </c>
      <c r="G612" s="7">
        <v>12</v>
      </c>
      <c r="H612" s="7">
        <v>4920</v>
      </c>
      <c r="I612" s="5">
        <v>639.6</v>
      </c>
      <c r="J612" s="5">
        <v>4280.3999999999996</v>
      </c>
      <c r="K612" s="7">
        <v>1230</v>
      </c>
      <c r="L612" s="5">
        <v>3050.3999999999901</v>
      </c>
      <c r="M612" s="1">
        <v>41913</v>
      </c>
      <c r="N612">
        <v>10</v>
      </c>
      <c r="O612" t="s">
        <v>27</v>
      </c>
      <c r="P612" t="s">
        <v>12</v>
      </c>
      <c r="Q612" s="5">
        <f>tbl_financials[[#This Row],[Net_Sales]]</f>
        <v>4280.3999999999996</v>
      </c>
      <c r="R612" s="5">
        <f>ROUND(tbl_financials[[#This Row],[Revenue]]*(0.12+MOD(ROW(),7)/100),2)</f>
        <v>642.05999999999995</v>
      </c>
      <c r="S612" s="7">
        <f t="shared" si="9"/>
        <v>1972</v>
      </c>
      <c r="T612" s="5">
        <f>tbl_financials[[#This Row],[Gross_Profit]]-tbl_financials[[#This Row],[Operating_Expenses]]+tbl_financials[[#This Row],[Other_Income]]</f>
        <v>4380.3399999999901</v>
      </c>
      <c r="U612" s="11">
        <f>IF(tbl_financials[[#This Row],[Revenue]]=0,0,tbl_financials[[#This Row],[Net_Profit]]/tbl_financials[[#This Row],[Revenue]])</f>
        <v>1.0233482852069877</v>
      </c>
      <c r="V612" s="11" t="str">
        <f>tbl_financials[[#This Row],[Month_Name]] &amp; "_" &amp; tbl_financials[[#This Row],[Year]]</f>
        <v>October_2014</v>
      </c>
      <c r="W612" s="11" t="str">
        <f>tbl_financials[[#This Row],[Month_Name]] &amp; "_" &amp; (tbl_financials[[#This Row],[Year]]-1)</f>
        <v>October_2013</v>
      </c>
      <c r="X61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-0.90074434782608692</v>
      </c>
    </row>
    <row r="613" spans="1:24" x14ac:dyDescent="0.3">
      <c r="A613" t="s">
        <v>8</v>
      </c>
      <c r="B613" t="s">
        <v>16</v>
      </c>
      <c r="C613" t="s">
        <v>37</v>
      </c>
      <c r="D613" t="s">
        <v>41</v>
      </c>
      <c r="E613" s="9">
        <v>1770</v>
      </c>
      <c r="F613" s="7">
        <v>260</v>
      </c>
      <c r="G613" s="7">
        <v>12</v>
      </c>
      <c r="H613" s="7">
        <v>21240</v>
      </c>
      <c r="I613" s="5">
        <v>2761.2</v>
      </c>
      <c r="J613" s="5">
        <v>18478.8</v>
      </c>
      <c r="K613" s="7">
        <v>5310</v>
      </c>
      <c r="L613" s="5">
        <v>13168.8</v>
      </c>
      <c r="M613" s="1">
        <v>41609</v>
      </c>
      <c r="N613">
        <v>12</v>
      </c>
      <c r="O613" t="s">
        <v>29</v>
      </c>
      <c r="P613" t="s">
        <v>11</v>
      </c>
      <c r="Q613" s="5">
        <f>tbl_financials[[#This Row],[Net_Sales]]</f>
        <v>18478.8</v>
      </c>
      <c r="R613" s="5">
        <f>ROUND(tbl_financials[[#This Row],[Revenue]]*(0.12+MOD(ROW(),7)/100),2)</f>
        <v>2956.61</v>
      </c>
      <c r="S613" s="7">
        <f t="shared" si="9"/>
        <v>2003</v>
      </c>
      <c r="T613" s="5">
        <f>tbl_financials[[#This Row],[Gross_Profit]]-tbl_financials[[#This Row],[Operating_Expenses]]+tbl_financials[[#This Row],[Other_Income]]</f>
        <v>12215.189999999999</v>
      </c>
      <c r="U613" s="11">
        <f>IF(tbl_financials[[#This Row],[Revenue]]=0,0,tbl_financials[[#This Row],[Net_Profit]]/tbl_financials[[#This Row],[Revenue]])</f>
        <v>0.66103805441911812</v>
      </c>
      <c r="V613" s="11" t="str">
        <f>tbl_financials[[#This Row],[Month_Name]] &amp; "_" &amp; tbl_financials[[#This Row],[Year]]</f>
        <v>December_2013</v>
      </c>
      <c r="W613" s="11" t="str">
        <f>tbl_financials[[#This Row],[Month_Name]] &amp; "_" &amp; (tbl_financials[[#This Row],[Year]]-1)</f>
        <v>December_2012</v>
      </c>
      <c r="X61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14" spans="1:24" x14ac:dyDescent="0.3">
      <c r="A614" t="s">
        <v>7</v>
      </c>
      <c r="B614" t="s">
        <v>17</v>
      </c>
      <c r="C614" t="s">
        <v>32</v>
      </c>
      <c r="D614" t="s">
        <v>41</v>
      </c>
      <c r="E614" s="9">
        <v>2579</v>
      </c>
      <c r="F614" s="7">
        <v>3</v>
      </c>
      <c r="G614" s="7">
        <v>20</v>
      </c>
      <c r="H614" s="7">
        <v>51580</v>
      </c>
      <c r="I614" s="5">
        <v>7221.2</v>
      </c>
      <c r="J614" s="5">
        <v>44358.8</v>
      </c>
      <c r="K614" s="7">
        <v>25790</v>
      </c>
      <c r="L614" s="5">
        <v>18568.8</v>
      </c>
      <c r="M614" s="1">
        <v>41730</v>
      </c>
      <c r="N614">
        <v>4</v>
      </c>
      <c r="O614" t="s">
        <v>21</v>
      </c>
      <c r="P614" t="s">
        <v>12</v>
      </c>
      <c r="Q614" s="5">
        <f>tbl_financials[[#This Row],[Net_Sales]]</f>
        <v>44358.8</v>
      </c>
      <c r="R614" s="5">
        <f>ROUND(tbl_financials[[#This Row],[Revenue]]*(0.12+MOD(ROW(),7)/100),2)</f>
        <v>7541</v>
      </c>
      <c r="S614" s="7">
        <f t="shared" si="9"/>
        <v>2034</v>
      </c>
      <c r="T614" s="5">
        <f>tbl_financials[[#This Row],[Gross_Profit]]-tbl_financials[[#This Row],[Operating_Expenses]]+tbl_financials[[#This Row],[Other_Income]]</f>
        <v>13061.8</v>
      </c>
      <c r="U614" s="11">
        <f>IF(tbl_financials[[#This Row],[Revenue]]=0,0,tbl_financials[[#This Row],[Net_Profit]]/tbl_financials[[#This Row],[Revenue]])</f>
        <v>0.29445792041263513</v>
      </c>
      <c r="V614" s="11" t="str">
        <f>tbl_financials[[#This Row],[Month_Name]] &amp; "_" &amp; tbl_financials[[#This Row],[Year]]</f>
        <v>April_2014</v>
      </c>
      <c r="W614" s="11" t="str">
        <f>tbl_financials[[#This Row],[Month_Name]] &amp; "_" &amp; (tbl_financials[[#This Row],[Year]]-1)</f>
        <v>April_2013</v>
      </c>
      <c r="X61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15" spans="1:24" x14ac:dyDescent="0.3">
      <c r="A615" t="s">
        <v>7</v>
      </c>
      <c r="B615" t="s">
        <v>14</v>
      </c>
      <c r="C615" t="s">
        <v>32</v>
      </c>
      <c r="D615" t="s">
        <v>41</v>
      </c>
      <c r="E615" s="9">
        <v>1743</v>
      </c>
      <c r="F615" s="7">
        <v>3</v>
      </c>
      <c r="G615" s="7">
        <v>20</v>
      </c>
      <c r="H615" s="7">
        <v>34860</v>
      </c>
      <c r="I615" s="5">
        <v>4880.3999999999996</v>
      </c>
      <c r="J615" s="5">
        <v>29979.599999999999</v>
      </c>
      <c r="K615" s="7">
        <v>17430</v>
      </c>
      <c r="L615" s="5">
        <v>12549.5999999999</v>
      </c>
      <c r="M615" s="1">
        <v>41760</v>
      </c>
      <c r="N615">
        <v>5</v>
      </c>
      <c r="O615" t="s">
        <v>22</v>
      </c>
      <c r="P615" t="s">
        <v>12</v>
      </c>
      <c r="Q615" s="5">
        <f>tbl_financials[[#This Row],[Net_Sales]]</f>
        <v>29979.599999999999</v>
      </c>
      <c r="R615" s="5">
        <f>ROUND(tbl_financials[[#This Row],[Revenue]]*(0.12+MOD(ROW(),7)/100),2)</f>
        <v>5396.33</v>
      </c>
      <c r="S615" s="7">
        <f t="shared" si="9"/>
        <v>2065</v>
      </c>
      <c r="T615" s="5">
        <f>tbl_financials[[#This Row],[Gross_Profit]]-tbl_financials[[#This Row],[Operating_Expenses]]+tbl_financials[[#This Row],[Other_Income]]</f>
        <v>9218.2699999999004</v>
      </c>
      <c r="U615" s="11">
        <f>IF(tbl_financials[[#This Row],[Revenue]]=0,0,tbl_financials[[#This Row],[Net_Profit]]/tbl_financials[[#This Row],[Revenue]])</f>
        <v>0.30748475630094801</v>
      </c>
      <c r="V615" s="11" t="str">
        <f>tbl_financials[[#This Row],[Month_Name]] &amp; "_" &amp; tbl_financials[[#This Row],[Year]]</f>
        <v>May_2014</v>
      </c>
      <c r="W615" s="11" t="str">
        <f>tbl_financials[[#This Row],[Month_Name]] &amp; "_" &amp; (tbl_financials[[#This Row],[Year]]-1)</f>
        <v>May_2013</v>
      </c>
      <c r="X61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16" spans="1:24" x14ac:dyDescent="0.3">
      <c r="A616" t="s">
        <v>7</v>
      </c>
      <c r="B616" t="s">
        <v>14</v>
      </c>
      <c r="C616" t="s">
        <v>32</v>
      </c>
      <c r="D616" t="s">
        <v>41</v>
      </c>
      <c r="E616" s="9">
        <v>2996</v>
      </c>
      <c r="F616" s="7">
        <v>3</v>
      </c>
      <c r="G616" s="7">
        <v>7</v>
      </c>
      <c r="H616" s="7">
        <v>20972</v>
      </c>
      <c r="I616" s="5">
        <v>2936.08</v>
      </c>
      <c r="J616" s="5">
        <v>18035.919999999998</v>
      </c>
      <c r="K616" s="7">
        <v>14980</v>
      </c>
      <c r="L616" s="5">
        <v>3055.9199999999901</v>
      </c>
      <c r="M616" s="1">
        <v>41548</v>
      </c>
      <c r="N616">
        <v>10</v>
      </c>
      <c r="O616" t="s">
        <v>27</v>
      </c>
      <c r="P616" t="s">
        <v>11</v>
      </c>
      <c r="Q616" s="5">
        <f>tbl_financials[[#This Row],[Net_Sales]]</f>
        <v>18035.919999999998</v>
      </c>
      <c r="R616" s="5">
        <f>ROUND(tbl_financials[[#This Row],[Revenue]]*(0.12+MOD(ROW(),7)/100),2)</f>
        <v>2164.31</v>
      </c>
      <c r="S616" s="7">
        <f t="shared" si="9"/>
        <v>2096</v>
      </c>
      <c r="T616" s="5">
        <f>tbl_financials[[#This Row],[Gross_Profit]]-tbl_financials[[#This Row],[Operating_Expenses]]+tbl_financials[[#This Row],[Other_Income]]</f>
        <v>2987.6099999999901</v>
      </c>
      <c r="U616" s="11">
        <f>IF(tbl_financials[[#This Row],[Revenue]]=0,0,tbl_financials[[#This Row],[Net_Profit]]/tbl_financials[[#This Row],[Revenue]])</f>
        <v>0.16564777399766634</v>
      </c>
      <c r="V616" s="11" t="str">
        <f>tbl_financials[[#This Row],[Month_Name]] &amp; "_" &amp; tbl_financials[[#This Row],[Year]]</f>
        <v>October_2013</v>
      </c>
      <c r="W616" s="11" t="str">
        <f>tbl_financials[[#This Row],[Month_Name]] &amp; "_" &amp; (tbl_financials[[#This Row],[Year]]-1)</f>
        <v>October_2012</v>
      </c>
      <c r="X61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17" spans="1:24" x14ac:dyDescent="0.3">
      <c r="A617" t="s">
        <v>7</v>
      </c>
      <c r="B617" t="s">
        <v>16</v>
      </c>
      <c r="C617" t="s">
        <v>32</v>
      </c>
      <c r="D617" t="s">
        <v>41</v>
      </c>
      <c r="E617" s="9">
        <v>280</v>
      </c>
      <c r="F617" s="7">
        <v>3</v>
      </c>
      <c r="G617" s="7">
        <v>7</v>
      </c>
      <c r="H617" s="7">
        <v>1960</v>
      </c>
      <c r="I617" s="5">
        <v>274.39999999999998</v>
      </c>
      <c r="J617" s="5">
        <v>1685.6</v>
      </c>
      <c r="K617" s="7">
        <v>1400</v>
      </c>
      <c r="L617" s="5">
        <v>285.599999999999</v>
      </c>
      <c r="M617" s="1">
        <v>41974</v>
      </c>
      <c r="N617">
        <v>12</v>
      </c>
      <c r="O617" t="s">
        <v>29</v>
      </c>
      <c r="P617" t="s">
        <v>12</v>
      </c>
      <c r="Q617" s="5">
        <f>tbl_financials[[#This Row],[Net_Sales]]</f>
        <v>1685.6</v>
      </c>
      <c r="R617" s="5">
        <f>ROUND(tbl_financials[[#This Row],[Revenue]]*(0.12+MOD(ROW(),7)/100),2)</f>
        <v>219.13</v>
      </c>
      <c r="S617" s="7">
        <f t="shared" si="9"/>
        <v>2127</v>
      </c>
      <c r="T617" s="5">
        <f>tbl_financials[[#This Row],[Gross_Profit]]-tbl_financials[[#This Row],[Operating_Expenses]]+tbl_financials[[#This Row],[Other_Income]]</f>
        <v>2193.4699999999989</v>
      </c>
      <c r="U617" s="11">
        <f>IF(tbl_financials[[#This Row],[Revenue]]=0,0,tbl_financials[[#This Row],[Net_Profit]]/tbl_financials[[#This Row],[Revenue]])</f>
        <v>1.3012992406264825</v>
      </c>
      <c r="V617" s="11" t="str">
        <f>tbl_financials[[#This Row],[Month_Name]] &amp; "_" &amp; tbl_financials[[#This Row],[Year]]</f>
        <v>December_2014</v>
      </c>
      <c r="W617" s="11" t="str">
        <f>tbl_financials[[#This Row],[Month_Name]] &amp; "_" &amp; (tbl_financials[[#This Row],[Year]]-1)</f>
        <v>December_2013</v>
      </c>
      <c r="X61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-0.94778190830235443</v>
      </c>
    </row>
    <row r="618" spans="1:24" x14ac:dyDescent="0.3">
      <c r="A618" t="s">
        <v>7</v>
      </c>
      <c r="B618" t="s">
        <v>15</v>
      </c>
      <c r="C618" t="s">
        <v>33</v>
      </c>
      <c r="D618" t="s">
        <v>41</v>
      </c>
      <c r="E618" s="9">
        <v>293</v>
      </c>
      <c r="F618" s="7">
        <v>5</v>
      </c>
      <c r="G618" s="7">
        <v>7</v>
      </c>
      <c r="H618" s="7">
        <v>2051</v>
      </c>
      <c r="I618" s="5">
        <v>287.14</v>
      </c>
      <c r="J618" s="5">
        <v>1763.86</v>
      </c>
      <c r="K618" s="7">
        <v>1465</v>
      </c>
      <c r="L618" s="5">
        <v>298.86</v>
      </c>
      <c r="M618" s="1">
        <v>41671</v>
      </c>
      <c r="N618">
        <v>2</v>
      </c>
      <c r="O618" t="s">
        <v>19</v>
      </c>
      <c r="P618" t="s">
        <v>12</v>
      </c>
      <c r="Q618" s="5">
        <f>tbl_financials[[#This Row],[Net_Sales]]</f>
        <v>1763.86</v>
      </c>
      <c r="R618" s="5">
        <f>ROUND(tbl_financials[[#This Row],[Revenue]]*(0.12+MOD(ROW(),7)/100),2)</f>
        <v>246.94</v>
      </c>
      <c r="S618" s="7">
        <f t="shared" si="9"/>
        <v>2158</v>
      </c>
      <c r="T618" s="5">
        <f>tbl_financials[[#This Row],[Gross_Profit]]-tbl_financials[[#This Row],[Operating_Expenses]]+tbl_financials[[#This Row],[Other_Income]]</f>
        <v>2209.92</v>
      </c>
      <c r="U618" s="11">
        <f>IF(tbl_financials[[#This Row],[Revenue]]=0,0,tbl_financials[[#This Row],[Net_Profit]]/tbl_financials[[#This Row],[Revenue]])</f>
        <v>1.2528885512455639</v>
      </c>
      <c r="V618" s="11" t="str">
        <f>tbl_financials[[#This Row],[Month_Name]] &amp; "_" &amp; tbl_financials[[#This Row],[Year]]</f>
        <v>February_2014</v>
      </c>
      <c r="W618" s="11" t="str">
        <f>tbl_financials[[#This Row],[Month_Name]] &amp; "_" &amp; (tbl_financials[[#This Row],[Year]]-1)</f>
        <v>February_2013</v>
      </c>
      <c r="X61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19" spans="1:24" x14ac:dyDescent="0.3">
      <c r="A619" t="s">
        <v>7</v>
      </c>
      <c r="B619" t="s">
        <v>14</v>
      </c>
      <c r="C619" t="s">
        <v>33</v>
      </c>
      <c r="D619" t="s">
        <v>41</v>
      </c>
      <c r="E619" s="9">
        <v>2996</v>
      </c>
      <c r="F619" s="7">
        <v>5</v>
      </c>
      <c r="G619" s="7">
        <v>7</v>
      </c>
      <c r="H619" s="7">
        <v>20972</v>
      </c>
      <c r="I619" s="5">
        <v>2936.08</v>
      </c>
      <c r="J619" s="5">
        <v>18035.919999999998</v>
      </c>
      <c r="K619" s="7">
        <v>14980</v>
      </c>
      <c r="L619" s="5">
        <v>3055.9199999999901</v>
      </c>
      <c r="M619" s="1">
        <v>41548</v>
      </c>
      <c r="N619">
        <v>10</v>
      </c>
      <c r="O619" t="s">
        <v>27</v>
      </c>
      <c r="P619" t="s">
        <v>11</v>
      </c>
      <c r="Q619" s="5">
        <f>tbl_financials[[#This Row],[Net_Sales]]</f>
        <v>18035.919999999998</v>
      </c>
      <c r="R619" s="5">
        <f>ROUND(tbl_financials[[#This Row],[Revenue]]*(0.12+MOD(ROW(),7)/100),2)</f>
        <v>2705.39</v>
      </c>
      <c r="S619" s="7">
        <f t="shared" si="9"/>
        <v>2189</v>
      </c>
      <c r="T619" s="5">
        <f>tbl_financials[[#This Row],[Gross_Profit]]-tbl_financials[[#This Row],[Operating_Expenses]]+tbl_financials[[#This Row],[Other_Income]]</f>
        <v>2539.5299999999902</v>
      </c>
      <c r="U619" s="11">
        <f>IF(tbl_financials[[#This Row],[Revenue]]=0,0,tbl_financials[[#This Row],[Net_Profit]]/tbl_financials[[#This Row],[Revenue]])</f>
        <v>0.14080401776011373</v>
      </c>
      <c r="V619" s="11" t="str">
        <f>tbl_financials[[#This Row],[Month_Name]] &amp; "_" &amp; tbl_financials[[#This Row],[Year]]</f>
        <v>October_2013</v>
      </c>
      <c r="W619" s="11" t="str">
        <f>tbl_financials[[#This Row],[Month_Name]] &amp; "_" &amp; (tbl_financials[[#This Row],[Year]]-1)</f>
        <v>October_2012</v>
      </c>
      <c r="X61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20" spans="1:24" x14ac:dyDescent="0.3">
      <c r="A620" t="s">
        <v>5</v>
      </c>
      <c r="B620" t="s">
        <v>16</v>
      </c>
      <c r="C620" t="s">
        <v>34</v>
      </c>
      <c r="D620" t="s">
        <v>41</v>
      </c>
      <c r="E620" s="9">
        <v>278</v>
      </c>
      <c r="F620" s="7">
        <v>10</v>
      </c>
      <c r="G620" s="7">
        <v>15</v>
      </c>
      <c r="H620" s="7">
        <v>4170</v>
      </c>
      <c r="I620" s="5">
        <v>583.79999999999995</v>
      </c>
      <c r="J620" s="5">
        <v>3586.2</v>
      </c>
      <c r="K620" s="7">
        <v>2780</v>
      </c>
      <c r="L620" s="5">
        <v>806.19999999999902</v>
      </c>
      <c r="M620" s="1">
        <v>41671</v>
      </c>
      <c r="N620">
        <v>2</v>
      </c>
      <c r="O620" t="s">
        <v>19</v>
      </c>
      <c r="P620" t="s">
        <v>12</v>
      </c>
      <c r="Q620" s="5">
        <f>tbl_financials[[#This Row],[Net_Sales]]</f>
        <v>3586.2</v>
      </c>
      <c r="R620" s="5">
        <f>ROUND(tbl_financials[[#This Row],[Revenue]]*(0.12+MOD(ROW(),7)/100),2)</f>
        <v>573.79</v>
      </c>
      <c r="S620" s="7">
        <f t="shared" si="9"/>
        <v>2220</v>
      </c>
      <c r="T620" s="5">
        <f>tbl_financials[[#This Row],[Gross_Profit]]-tbl_financials[[#This Row],[Operating_Expenses]]+tbl_financials[[#This Row],[Other_Income]]</f>
        <v>2452.4099999999989</v>
      </c>
      <c r="U620" s="11">
        <f>IF(tbl_financials[[#This Row],[Revenue]]=0,0,tbl_financials[[#This Row],[Net_Profit]]/tbl_financials[[#This Row],[Revenue]])</f>
        <v>0.68384641124309831</v>
      </c>
      <c r="V620" s="11" t="str">
        <f>tbl_financials[[#This Row],[Month_Name]] &amp; "_" &amp; tbl_financials[[#This Row],[Year]]</f>
        <v>February_2014</v>
      </c>
      <c r="W620" s="11" t="str">
        <f>tbl_financials[[#This Row],[Month_Name]] &amp; "_" &amp; (tbl_financials[[#This Row],[Year]]-1)</f>
        <v>February_2013</v>
      </c>
      <c r="X62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21" spans="1:24" x14ac:dyDescent="0.3">
      <c r="A621" t="s">
        <v>7</v>
      </c>
      <c r="B621" t="s">
        <v>13</v>
      </c>
      <c r="C621" t="s">
        <v>34</v>
      </c>
      <c r="D621" t="s">
        <v>41</v>
      </c>
      <c r="E621" s="9">
        <v>2428</v>
      </c>
      <c r="F621" s="7">
        <v>10</v>
      </c>
      <c r="G621" s="7">
        <v>20</v>
      </c>
      <c r="H621" s="7">
        <v>48560</v>
      </c>
      <c r="I621" s="5">
        <v>6798.4</v>
      </c>
      <c r="J621" s="5">
        <v>41761.599999999999</v>
      </c>
      <c r="K621" s="7">
        <v>24280</v>
      </c>
      <c r="L621" s="5">
        <v>17481.599999999999</v>
      </c>
      <c r="M621" s="1">
        <v>41699</v>
      </c>
      <c r="N621">
        <v>3</v>
      </c>
      <c r="O621" t="s">
        <v>20</v>
      </c>
      <c r="P621" t="s">
        <v>12</v>
      </c>
      <c r="Q621" s="5">
        <f>tbl_financials[[#This Row],[Net_Sales]]</f>
        <v>41761.599999999999</v>
      </c>
      <c r="R621" s="5">
        <f>ROUND(tbl_financials[[#This Row],[Revenue]]*(0.12+MOD(ROW(),7)/100),2)</f>
        <v>7099.47</v>
      </c>
      <c r="S621" s="7">
        <f t="shared" si="9"/>
        <v>2251</v>
      </c>
      <c r="T621" s="5">
        <f>tbl_financials[[#This Row],[Gross_Profit]]-tbl_financials[[#This Row],[Operating_Expenses]]+tbl_financials[[#This Row],[Other_Income]]</f>
        <v>12633.129999999997</v>
      </c>
      <c r="U621" s="11">
        <f>IF(tbl_financials[[#This Row],[Revenue]]=0,0,tbl_financials[[#This Row],[Net_Profit]]/tbl_financials[[#This Row],[Revenue]])</f>
        <v>0.30250589057890498</v>
      </c>
      <c r="V621" s="11" t="str">
        <f>tbl_financials[[#This Row],[Month_Name]] &amp; "_" &amp; tbl_financials[[#This Row],[Year]]</f>
        <v>March_2014</v>
      </c>
      <c r="W621" s="11" t="str">
        <f>tbl_financials[[#This Row],[Month_Name]] &amp; "_" &amp; (tbl_financials[[#This Row],[Year]]-1)</f>
        <v>March_2013</v>
      </c>
      <c r="X62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22" spans="1:24" x14ac:dyDescent="0.3">
      <c r="A622" t="s">
        <v>5</v>
      </c>
      <c r="B622" t="s">
        <v>14</v>
      </c>
      <c r="C622" t="s">
        <v>34</v>
      </c>
      <c r="D622" t="s">
        <v>41</v>
      </c>
      <c r="E622" s="9">
        <v>1767</v>
      </c>
      <c r="F622" s="7">
        <v>10</v>
      </c>
      <c r="G622" s="7">
        <v>15</v>
      </c>
      <c r="H622" s="7">
        <v>26505</v>
      </c>
      <c r="I622" s="5">
        <v>3710.7</v>
      </c>
      <c r="J622" s="5">
        <v>22794.3</v>
      </c>
      <c r="K622" s="7">
        <v>17670</v>
      </c>
      <c r="L622" s="5">
        <v>5124.2999999999902</v>
      </c>
      <c r="M622" s="1">
        <v>41883</v>
      </c>
      <c r="N622">
        <v>9</v>
      </c>
      <c r="O622" t="s">
        <v>26</v>
      </c>
      <c r="P622" t="s">
        <v>12</v>
      </c>
      <c r="Q622" s="5">
        <f>tbl_financials[[#This Row],[Net_Sales]]</f>
        <v>22794.3</v>
      </c>
      <c r="R622" s="5">
        <f>ROUND(tbl_financials[[#This Row],[Revenue]]*(0.12+MOD(ROW(),7)/100),2)</f>
        <v>4102.97</v>
      </c>
      <c r="S622" s="7">
        <f t="shared" si="9"/>
        <v>2282</v>
      </c>
      <c r="T622" s="5">
        <f>tbl_financials[[#This Row],[Gross_Profit]]-tbl_financials[[#This Row],[Operating_Expenses]]+tbl_financials[[#This Row],[Other_Income]]</f>
        <v>3303.3299999999899</v>
      </c>
      <c r="U622" s="11">
        <f>IF(tbl_financials[[#This Row],[Revenue]]=0,0,tbl_financials[[#This Row],[Net_Profit]]/tbl_financials[[#This Row],[Revenue]])</f>
        <v>0.14491912451797115</v>
      </c>
      <c r="V622" s="11" t="str">
        <f>tbl_financials[[#This Row],[Month_Name]] &amp; "_" &amp; tbl_financials[[#This Row],[Year]]</f>
        <v>September_2014</v>
      </c>
      <c r="W622" s="11" t="str">
        <f>tbl_financials[[#This Row],[Month_Name]] &amp; "_" &amp; (tbl_financials[[#This Row],[Year]]-1)</f>
        <v>September_2013</v>
      </c>
      <c r="X62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1.7679781420765026</v>
      </c>
    </row>
    <row r="623" spans="1:24" x14ac:dyDescent="0.3">
      <c r="A623" t="s">
        <v>8</v>
      </c>
      <c r="B623" t="s">
        <v>15</v>
      </c>
      <c r="C623" t="s">
        <v>34</v>
      </c>
      <c r="D623" t="s">
        <v>41</v>
      </c>
      <c r="E623" s="9">
        <v>1393</v>
      </c>
      <c r="F623" s="7">
        <v>10</v>
      </c>
      <c r="G623" s="7">
        <v>12</v>
      </c>
      <c r="H623" s="7">
        <v>16716</v>
      </c>
      <c r="I623" s="5">
        <v>2340.2399999999998</v>
      </c>
      <c r="J623" s="5">
        <v>14375.76</v>
      </c>
      <c r="K623" s="7">
        <v>4179</v>
      </c>
      <c r="L623" s="5">
        <v>10196.76</v>
      </c>
      <c r="M623" s="1">
        <v>41913</v>
      </c>
      <c r="N623">
        <v>10</v>
      </c>
      <c r="O623" t="s">
        <v>27</v>
      </c>
      <c r="P623" t="s">
        <v>12</v>
      </c>
      <c r="Q623" s="5">
        <f>tbl_financials[[#This Row],[Net_Sales]]</f>
        <v>14375.76</v>
      </c>
      <c r="R623" s="5">
        <f>ROUND(tbl_financials[[#This Row],[Revenue]]*(0.12+MOD(ROW(),7)/100),2)</f>
        <v>1725.09</v>
      </c>
      <c r="S623" s="7">
        <f t="shared" si="9"/>
        <v>2313</v>
      </c>
      <c r="T623" s="5">
        <f>tbl_financials[[#This Row],[Gross_Profit]]-tbl_financials[[#This Row],[Operating_Expenses]]+tbl_financials[[#This Row],[Other_Income]]</f>
        <v>10784.67</v>
      </c>
      <c r="U623" s="11">
        <f>IF(tbl_financials[[#This Row],[Revenue]]=0,0,tbl_financials[[#This Row],[Net_Profit]]/tbl_financials[[#This Row],[Revenue]])</f>
        <v>0.75019825038815335</v>
      </c>
      <c r="V623" s="11" t="str">
        <f>tbl_financials[[#This Row],[Month_Name]] &amp; "_" &amp; tbl_financials[[#This Row],[Year]]</f>
        <v>October_2014</v>
      </c>
      <c r="W623" s="11" t="str">
        <f>tbl_financials[[#This Row],[Month_Name]] &amp; "_" &amp; (tbl_financials[[#This Row],[Year]]-1)</f>
        <v>October_2013</v>
      </c>
      <c r="X62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-0.66664904347826082</v>
      </c>
    </row>
    <row r="624" spans="1:24" x14ac:dyDescent="0.3">
      <c r="A624" t="s">
        <v>7</v>
      </c>
      <c r="B624" t="s">
        <v>16</v>
      </c>
      <c r="C624" t="s">
        <v>36</v>
      </c>
      <c r="D624" t="s">
        <v>41</v>
      </c>
      <c r="E624" s="9">
        <v>280</v>
      </c>
      <c r="F624" s="7">
        <v>250</v>
      </c>
      <c r="G624" s="7">
        <v>7</v>
      </c>
      <c r="H624" s="7">
        <v>1960</v>
      </c>
      <c r="I624" s="5">
        <v>274.39999999999998</v>
      </c>
      <c r="J624" s="5">
        <v>1685.6</v>
      </c>
      <c r="K624" s="7">
        <v>1400</v>
      </c>
      <c r="L624" s="5">
        <v>285.599999999999</v>
      </c>
      <c r="M624" s="1">
        <v>41974</v>
      </c>
      <c r="N624">
        <v>12</v>
      </c>
      <c r="O624" t="s">
        <v>29</v>
      </c>
      <c r="P624" t="s">
        <v>12</v>
      </c>
      <c r="Q624" s="5">
        <f>tbl_financials[[#This Row],[Net_Sales]]</f>
        <v>1685.6</v>
      </c>
      <c r="R624" s="5">
        <f>ROUND(tbl_financials[[#This Row],[Revenue]]*(0.12+MOD(ROW(),7)/100),2)</f>
        <v>219.13</v>
      </c>
      <c r="S624" s="7">
        <f t="shared" si="9"/>
        <v>2344</v>
      </c>
      <c r="T624" s="5">
        <f>tbl_financials[[#This Row],[Gross_Profit]]-tbl_financials[[#This Row],[Operating_Expenses]]+tbl_financials[[#This Row],[Other_Income]]</f>
        <v>2410.4699999999989</v>
      </c>
      <c r="U624" s="11">
        <f>IF(tbl_financials[[#This Row],[Revenue]]=0,0,tbl_financials[[#This Row],[Net_Profit]]/tbl_financials[[#This Row],[Revenue]])</f>
        <v>1.4300367821547217</v>
      </c>
      <c r="V624" s="11" t="str">
        <f>tbl_financials[[#This Row],[Month_Name]] &amp; "_" &amp; tbl_financials[[#This Row],[Year]]</f>
        <v>December_2014</v>
      </c>
      <c r="W624" s="11" t="str">
        <f>tbl_financials[[#This Row],[Month_Name]] &amp; "_" &amp; (tbl_financials[[#This Row],[Year]]-1)</f>
        <v>December_2013</v>
      </c>
      <c r="X62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-0.94778190830235443</v>
      </c>
    </row>
    <row r="625" spans="1:24" x14ac:dyDescent="0.3">
      <c r="A625" t="s">
        <v>8</v>
      </c>
      <c r="B625" t="s">
        <v>15</v>
      </c>
      <c r="C625" t="s">
        <v>37</v>
      </c>
      <c r="D625" t="s">
        <v>41</v>
      </c>
      <c r="E625" s="9">
        <v>1393</v>
      </c>
      <c r="F625" s="7">
        <v>260</v>
      </c>
      <c r="G625" s="7">
        <v>12</v>
      </c>
      <c r="H625" s="7">
        <v>16716</v>
      </c>
      <c r="I625" s="5">
        <v>2340.2399999999998</v>
      </c>
      <c r="J625" s="5">
        <v>14375.76</v>
      </c>
      <c r="K625" s="7">
        <v>4179</v>
      </c>
      <c r="L625" s="5">
        <v>10196.76</v>
      </c>
      <c r="M625" s="1">
        <v>41913</v>
      </c>
      <c r="N625">
        <v>10</v>
      </c>
      <c r="O625" t="s">
        <v>27</v>
      </c>
      <c r="P625" t="s">
        <v>12</v>
      </c>
      <c r="Q625" s="5">
        <f>tbl_financials[[#This Row],[Net_Sales]]</f>
        <v>14375.76</v>
      </c>
      <c r="R625" s="5">
        <f>ROUND(tbl_financials[[#This Row],[Revenue]]*(0.12+MOD(ROW(),7)/100),2)</f>
        <v>2012.61</v>
      </c>
      <c r="S625" s="7">
        <f t="shared" si="9"/>
        <v>2375</v>
      </c>
      <c r="T625" s="5">
        <f>tbl_financials[[#This Row],[Gross_Profit]]-tbl_financials[[#This Row],[Operating_Expenses]]+tbl_financials[[#This Row],[Other_Income]]</f>
        <v>10559.150000000001</v>
      </c>
      <c r="U625" s="11">
        <f>IF(tbl_financials[[#This Row],[Revenue]]=0,0,tbl_financials[[#This Row],[Net_Profit]]/tbl_financials[[#This Row],[Revenue]])</f>
        <v>0.73451073195434546</v>
      </c>
      <c r="V625" s="11" t="str">
        <f>tbl_financials[[#This Row],[Month_Name]] &amp; "_" &amp; tbl_financials[[#This Row],[Year]]</f>
        <v>October_2014</v>
      </c>
      <c r="W625" s="11" t="str">
        <f>tbl_financials[[#This Row],[Month_Name]] &amp; "_" &amp; (tbl_financials[[#This Row],[Year]]-1)</f>
        <v>October_2013</v>
      </c>
      <c r="X62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-0.66664904347826082</v>
      </c>
    </row>
    <row r="626" spans="1:24" x14ac:dyDescent="0.3">
      <c r="A626" t="s">
        <v>8</v>
      </c>
      <c r="B626" t="s">
        <v>14</v>
      </c>
      <c r="C626" t="s">
        <v>37</v>
      </c>
      <c r="D626" t="s">
        <v>41</v>
      </c>
      <c r="E626" s="9">
        <v>2015</v>
      </c>
      <c r="F626" s="7">
        <v>260</v>
      </c>
      <c r="G626" s="7">
        <v>12</v>
      </c>
      <c r="H626" s="7">
        <v>24180</v>
      </c>
      <c r="I626" s="5">
        <v>3385.2</v>
      </c>
      <c r="J626" s="5">
        <v>20794.8</v>
      </c>
      <c r="K626" s="7">
        <v>6045</v>
      </c>
      <c r="L626" s="5">
        <v>14749.8</v>
      </c>
      <c r="M626" s="1">
        <v>41609</v>
      </c>
      <c r="N626">
        <v>12</v>
      </c>
      <c r="O626" t="s">
        <v>29</v>
      </c>
      <c r="P626" t="s">
        <v>11</v>
      </c>
      <c r="Q626" s="5">
        <f>tbl_financials[[#This Row],[Net_Sales]]</f>
        <v>20794.8</v>
      </c>
      <c r="R626" s="5">
        <f>ROUND(tbl_financials[[#This Row],[Revenue]]*(0.12+MOD(ROW(),7)/100),2)</f>
        <v>3119.22</v>
      </c>
      <c r="S626" s="7">
        <f t="shared" si="9"/>
        <v>2406</v>
      </c>
      <c r="T626" s="5">
        <f>tbl_financials[[#This Row],[Gross_Profit]]-tbl_financials[[#This Row],[Operating_Expenses]]+tbl_financials[[#This Row],[Other_Income]]</f>
        <v>14036.58</v>
      </c>
      <c r="U626" s="11">
        <f>IF(tbl_financials[[#This Row],[Revenue]]=0,0,tbl_financials[[#This Row],[Net_Profit]]/tbl_financials[[#This Row],[Revenue]])</f>
        <v>0.67500432800507826</v>
      </c>
      <c r="V626" s="11" t="str">
        <f>tbl_financials[[#This Row],[Month_Name]] &amp; "_" &amp; tbl_financials[[#This Row],[Year]]</f>
        <v>December_2013</v>
      </c>
      <c r="W626" s="11" t="str">
        <f>tbl_financials[[#This Row],[Month_Name]] &amp; "_" &amp; (tbl_financials[[#This Row],[Year]]-1)</f>
        <v>December_2012</v>
      </c>
      <c r="X62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27" spans="1:24" x14ac:dyDescent="0.3">
      <c r="A627" t="s">
        <v>4</v>
      </c>
      <c r="B627" t="s">
        <v>17</v>
      </c>
      <c r="C627" t="s">
        <v>32</v>
      </c>
      <c r="D627" t="s">
        <v>41</v>
      </c>
      <c r="E627" s="9">
        <v>801</v>
      </c>
      <c r="F627" s="7">
        <v>3</v>
      </c>
      <c r="G627" s="7">
        <v>300</v>
      </c>
      <c r="H627" s="7">
        <v>240300</v>
      </c>
      <c r="I627" s="5">
        <v>33642</v>
      </c>
      <c r="J627" s="5">
        <v>206658</v>
      </c>
      <c r="K627" s="7">
        <v>200250</v>
      </c>
      <c r="L627" s="5">
        <v>6408</v>
      </c>
      <c r="M627" s="1">
        <v>41821</v>
      </c>
      <c r="N627">
        <v>7</v>
      </c>
      <c r="O627" t="s">
        <v>24</v>
      </c>
      <c r="P627" t="s">
        <v>12</v>
      </c>
      <c r="Q627" s="5">
        <f>tbl_financials[[#This Row],[Net_Sales]]</f>
        <v>206658</v>
      </c>
      <c r="R627" s="5">
        <f>ROUND(tbl_financials[[#This Row],[Revenue]]*(0.12+MOD(ROW(),7)/100),2)</f>
        <v>33065.279999999999</v>
      </c>
      <c r="S627" s="7">
        <f t="shared" si="9"/>
        <v>2437</v>
      </c>
      <c r="T627" s="5">
        <f>tbl_financials[[#This Row],[Gross_Profit]]-tbl_financials[[#This Row],[Operating_Expenses]]+tbl_financials[[#This Row],[Other_Income]]</f>
        <v>-24220.28</v>
      </c>
      <c r="U627" s="11">
        <f>IF(tbl_financials[[#This Row],[Revenue]]=0,0,tbl_financials[[#This Row],[Net_Profit]]/tbl_financials[[#This Row],[Revenue]])</f>
        <v>-0.11719981805688626</v>
      </c>
      <c r="V627" s="11" t="str">
        <f>tbl_financials[[#This Row],[Month_Name]] &amp; "_" &amp; tbl_financials[[#This Row],[Year]]</f>
        <v>July_2014</v>
      </c>
      <c r="W627" s="11" t="str">
        <f>tbl_financials[[#This Row],[Month_Name]] &amp; "_" &amp; (tbl_financials[[#This Row],[Year]]-1)</f>
        <v>July_2013</v>
      </c>
      <c r="X62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28" spans="1:24" x14ac:dyDescent="0.3">
      <c r="A628" t="s">
        <v>6</v>
      </c>
      <c r="B628" t="s">
        <v>15</v>
      </c>
      <c r="C628" t="s">
        <v>32</v>
      </c>
      <c r="D628" t="s">
        <v>41</v>
      </c>
      <c r="E628" s="9">
        <v>1023</v>
      </c>
      <c r="F628" s="7">
        <v>3</v>
      </c>
      <c r="G628" s="7">
        <v>125</v>
      </c>
      <c r="H628" s="7">
        <v>127875</v>
      </c>
      <c r="I628" s="5">
        <v>17902.5</v>
      </c>
      <c r="J628" s="5">
        <v>109972.5</v>
      </c>
      <c r="K628" s="7">
        <v>122760</v>
      </c>
      <c r="L628" s="5">
        <v>-12787.5</v>
      </c>
      <c r="M628" s="1">
        <v>41518</v>
      </c>
      <c r="N628">
        <v>9</v>
      </c>
      <c r="O628" t="s">
        <v>26</v>
      </c>
      <c r="P628" t="s">
        <v>11</v>
      </c>
      <c r="Q628" s="5">
        <f>tbl_financials[[#This Row],[Net_Sales]]</f>
        <v>109972.5</v>
      </c>
      <c r="R628" s="5">
        <f>ROUND(tbl_financials[[#This Row],[Revenue]]*(0.12+MOD(ROW(),7)/100),2)</f>
        <v>18695.330000000002</v>
      </c>
      <c r="S628" s="7">
        <f t="shared" si="9"/>
        <v>2468</v>
      </c>
      <c r="T628" s="5">
        <f>tbl_financials[[#This Row],[Gross_Profit]]-tbl_financials[[#This Row],[Operating_Expenses]]+tbl_financials[[#This Row],[Other_Income]]</f>
        <v>-29014.83</v>
      </c>
      <c r="U628" s="11">
        <f>IF(tbl_financials[[#This Row],[Revenue]]=0,0,tbl_financials[[#This Row],[Net_Profit]]/tbl_financials[[#This Row],[Revenue]])</f>
        <v>-0.26383714110345768</v>
      </c>
      <c r="V628" s="11" t="str">
        <f>tbl_financials[[#This Row],[Month_Name]] &amp; "_" &amp; tbl_financials[[#This Row],[Year]]</f>
        <v>September_2013</v>
      </c>
      <c r="W628" s="11" t="str">
        <f>tbl_financials[[#This Row],[Month_Name]] &amp; "_" &amp; (tbl_financials[[#This Row],[Year]]-1)</f>
        <v>September_2012</v>
      </c>
      <c r="X62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29" spans="1:24" x14ac:dyDescent="0.3">
      <c r="A629" t="s">
        <v>4</v>
      </c>
      <c r="B629" t="s">
        <v>13</v>
      </c>
      <c r="C629" t="s">
        <v>32</v>
      </c>
      <c r="D629" t="s">
        <v>41</v>
      </c>
      <c r="E629" s="9">
        <v>1496</v>
      </c>
      <c r="F629" s="7">
        <v>3</v>
      </c>
      <c r="G629" s="7">
        <v>300</v>
      </c>
      <c r="H629" s="7">
        <v>448800</v>
      </c>
      <c r="I629" s="5">
        <v>62832</v>
      </c>
      <c r="J629" s="5">
        <v>385968</v>
      </c>
      <c r="K629" s="7">
        <v>374000</v>
      </c>
      <c r="L629" s="5">
        <v>11968</v>
      </c>
      <c r="M629" s="1">
        <v>41913</v>
      </c>
      <c r="N629">
        <v>10</v>
      </c>
      <c r="O629" t="s">
        <v>27</v>
      </c>
      <c r="P629" t="s">
        <v>12</v>
      </c>
      <c r="Q629" s="5">
        <f>tbl_financials[[#This Row],[Net_Sales]]</f>
        <v>385968</v>
      </c>
      <c r="R629" s="5">
        <f>ROUND(tbl_financials[[#This Row],[Revenue]]*(0.12+MOD(ROW(),7)/100),2)</f>
        <v>69474.240000000005</v>
      </c>
      <c r="S629" s="7">
        <f t="shared" si="9"/>
        <v>2499</v>
      </c>
      <c r="T629" s="5">
        <f>tbl_financials[[#This Row],[Gross_Profit]]-tbl_financials[[#This Row],[Operating_Expenses]]+tbl_financials[[#This Row],[Other_Income]]</f>
        <v>-55007.240000000005</v>
      </c>
      <c r="U629" s="11">
        <f>IF(tbl_financials[[#This Row],[Revenue]]=0,0,tbl_financials[[#This Row],[Net_Profit]]/tbl_financials[[#This Row],[Revenue]])</f>
        <v>-0.14251761804087387</v>
      </c>
      <c r="V629" s="11" t="str">
        <f>tbl_financials[[#This Row],[Month_Name]] &amp; "_" &amp; tbl_financials[[#This Row],[Year]]</f>
        <v>October_2014</v>
      </c>
      <c r="W629" s="11" t="str">
        <f>tbl_financials[[#This Row],[Month_Name]] &amp; "_" &amp; (tbl_financials[[#This Row],[Year]]-1)</f>
        <v>October_2013</v>
      </c>
      <c r="X62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7.9499826086956524</v>
      </c>
    </row>
    <row r="630" spans="1:24" x14ac:dyDescent="0.3">
      <c r="A630" t="s">
        <v>4</v>
      </c>
      <c r="B630" t="s">
        <v>14</v>
      </c>
      <c r="C630" t="s">
        <v>32</v>
      </c>
      <c r="D630" t="s">
        <v>41</v>
      </c>
      <c r="E630" s="9">
        <v>1010</v>
      </c>
      <c r="F630" s="7">
        <v>3</v>
      </c>
      <c r="G630" s="7">
        <v>300</v>
      </c>
      <c r="H630" s="7">
        <v>303000</v>
      </c>
      <c r="I630" s="5">
        <v>42420</v>
      </c>
      <c r="J630" s="5">
        <v>260580</v>
      </c>
      <c r="K630" s="7">
        <v>252500</v>
      </c>
      <c r="L630" s="5">
        <v>8080</v>
      </c>
      <c r="M630" s="1">
        <v>41913</v>
      </c>
      <c r="N630">
        <v>10</v>
      </c>
      <c r="O630" t="s">
        <v>27</v>
      </c>
      <c r="P630" t="s">
        <v>12</v>
      </c>
      <c r="Q630" s="5">
        <f>tbl_financials[[#This Row],[Net_Sales]]</f>
        <v>260580</v>
      </c>
      <c r="R630" s="5">
        <f>ROUND(tbl_financials[[#This Row],[Revenue]]*(0.12+MOD(ROW(),7)/100),2)</f>
        <v>31269.599999999999</v>
      </c>
      <c r="S630" s="7">
        <f t="shared" si="9"/>
        <v>2530</v>
      </c>
      <c r="T630" s="5">
        <f>tbl_financials[[#This Row],[Gross_Profit]]-tbl_financials[[#This Row],[Operating_Expenses]]+tbl_financials[[#This Row],[Other_Income]]</f>
        <v>-20659.599999999999</v>
      </c>
      <c r="U630" s="11">
        <f>IF(tbl_financials[[#This Row],[Revenue]]=0,0,tbl_financials[[#This Row],[Net_Profit]]/tbl_financials[[#This Row],[Revenue]])</f>
        <v>-7.9283137616087185E-2</v>
      </c>
      <c r="V630" s="11" t="str">
        <f>tbl_financials[[#This Row],[Month_Name]] &amp; "_" &amp; tbl_financials[[#This Row],[Year]]</f>
        <v>October_2014</v>
      </c>
      <c r="W630" s="11" t="str">
        <f>tbl_financials[[#This Row],[Month_Name]] &amp; "_" &amp; (tbl_financials[[#This Row],[Year]]-1)</f>
        <v>October_2013</v>
      </c>
      <c r="X63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5.0424347826086953</v>
      </c>
    </row>
    <row r="631" spans="1:24" x14ac:dyDescent="0.3">
      <c r="A631" t="s">
        <v>5</v>
      </c>
      <c r="B631" t="s">
        <v>16</v>
      </c>
      <c r="C631" t="s">
        <v>32</v>
      </c>
      <c r="D631" t="s">
        <v>41</v>
      </c>
      <c r="E631" s="9">
        <v>1513</v>
      </c>
      <c r="F631" s="7">
        <v>3</v>
      </c>
      <c r="G631" s="7">
        <v>15</v>
      </c>
      <c r="H631" s="7">
        <v>22695</v>
      </c>
      <c r="I631" s="5">
        <v>3177.3</v>
      </c>
      <c r="J631" s="5">
        <v>19517.7</v>
      </c>
      <c r="K631" s="7">
        <v>15130</v>
      </c>
      <c r="L631" s="5">
        <v>4387.7</v>
      </c>
      <c r="M631" s="1">
        <v>41944</v>
      </c>
      <c r="N631">
        <v>11</v>
      </c>
      <c r="O631" t="s">
        <v>28</v>
      </c>
      <c r="P631" t="s">
        <v>12</v>
      </c>
      <c r="Q631" s="5">
        <f>tbl_financials[[#This Row],[Net_Sales]]</f>
        <v>19517.7</v>
      </c>
      <c r="R631" s="5">
        <f>ROUND(tbl_financials[[#This Row],[Revenue]]*(0.12+MOD(ROW(),7)/100),2)</f>
        <v>2537.3000000000002</v>
      </c>
      <c r="S631" s="7">
        <f t="shared" si="9"/>
        <v>2561</v>
      </c>
      <c r="T631" s="5">
        <f>tbl_financials[[#This Row],[Gross_Profit]]-tbl_financials[[#This Row],[Operating_Expenses]]+tbl_financials[[#This Row],[Other_Income]]</f>
        <v>4411.3999999999996</v>
      </c>
      <c r="U631" s="11">
        <f>IF(tbl_financials[[#This Row],[Revenue]]=0,0,tbl_financials[[#This Row],[Net_Profit]]/tbl_financials[[#This Row],[Revenue]])</f>
        <v>0.22602048397095967</v>
      </c>
      <c r="V631" s="11" t="str">
        <f>tbl_financials[[#This Row],[Month_Name]] &amp; "_" &amp; tbl_financials[[#This Row],[Year]]</f>
        <v>November_2014</v>
      </c>
      <c r="W631" s="11" t="str">
        <f>tbl_financials[[#This Row],[Month_Name]] &amp; "_" &amp; (tbl_financials[[#This Row],[Year]]-1)</f>
        <v>November_2013</v>
      </c>
      <c r="X63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-0.96767254658385105</v>
      </c>
    </row>
    <row r="632" spans="1:24" x14ac:dyDescent="0.3">
      <c r="A632" t="s">
        <v>5</v>
      </c>
      <c r="B632" t="s">
        <v>13</v>
      </c>
      <c r="C632" t="s">
        <v>32</v>
      </c>
      <c r="D632" t="s">
        <v>41</v>
      </c>
      <c r="E632" s="9">
        <v>2300</v>
      </c>
      <c r="F632" s="7">
        <v>3</v>
      </c>
      <c r="G632" s="7">
        <v>15</v>
      </c>
      <c r="H632" s="7">
        <v>34500</v>
      </c>
      <c r="I632" s="5">
        <v>4830</v>
      </c>
      <c r="J632" s="5">
        <v>29670</v>
      </c>
      <c r="K632" s="7">
        <v>23000</v>
      </c>
      <c r="L632" s="5">
        <v>6670</v>
      </c>
      <c r="M632" s="1">
        <v>41974</v>
      </c>
      <c r="N632">
        <v>12</v>
      </c>
      <c r="O632" t="s">
        <v>29</v>
      </c>
      <c r="P632" t="s">
        <v>12</v>
      </c>
      <c r="Q632" s="5">
        <f>tbl_financials[[#This Row],[Net_Sales]]</f>
        <v>29670</v>
      </c>
      <c r="R632" s="5">
        <f>ROUND(tbl_financials[[#This Row],[Revenue]]*(0.12+MOD(ROW(),7)/100),2)</f>
        <v>4153.8</v>
      </c>
      <c r="S632" s="7">
        <f t="shared" si="9"/>
        <v>2592</v>
      </c>
      <c r="T632" s="5">
        <f>tbl_financials[[#This Row],[Gross_Profit]]-tbl_financials[[#This Row],[Operating_Expenses]]+tbl_financials[[#This Row],[Other_Income]]</f>
        <v>5108.2</v>
      </c>
      <c r="U632" s="11">
        <f>IF(tbl_financials[[#This Row],[Revenue]]=0,0,tbl_financials[[#This Row],[Net_Profit]]/tbl_financials[[#This Row],[Revenue]])</f>
        <v>0.17216717222783956</v>
      </c>
      <c r="V632" s="11" t="str">
        <f>tbl_financials[[#This Row],[Month_Name]] &amp; "_" &amp; tbl_financials[[#This Row],[Year]]</f>
        <v>December_2014</v>
      </c>
      <c r="W632" s="11" t="str">
        <f>tbl_financials[[#This Row],[Month_Name]] &amp; "_" &amp; (tbl_financials[[#This Row],[Year]]-1)</f>
        <v>December_2013</v>
      </c>
      <c r="X63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-8.0855018587360591E-2</v>
      </c>
    </row>
    <row r="633" spans="1:24" x14ac:dyDescent="0.3">
      <c r="A633" t="s">
        <v>6</v>
      </c>
      <c r="B633" t="s">
        <v>17</v>
      </c>
      <c r="C633" t="s">
        <v>32</v>
      </c>
      <c r="D633" t="s">
        <v>41</v>
      </c>
      <c r="E633" s="9">
        <v>2821</v>
      </c>
      <c r="F633" s="7">
        <v>3</v>
      </c>
      <c r="G633" s="7">
        <v>125</v>
      </c>
      <c r="H633" s="7">
        <v>352625</v>
      </c>
      <c r="I633" s="5">
        <v>49367.5</v>
      </c>
      <c r="J633" s="5">
        <v>303257.5</v>
      </c>
      <c r="K633" s="7">
        <v>338520</v>
      </c>
      <c r="L633" s="5">
        <v>-35262.5</v>
      </c>
      <c r="M633" s="1">
        <v>41609</v>
      </c>
      <c r="N633">
        <v>12</v>
      </c>
      <c r="O633" t="s">
        <v>29</v>
      </c>
      <c r="P633" t="s">
        <v>11</v>
      </c>
      <c r="Q633" s="5">
        <f>tbl_financials[[#This Row],[Net_Sales]]</f>
        <v>303257.5</v>
      </c>
      <c r="R633" s="5">
        <f>ROUND(tbl_financials[[#This Row],[Revenue]]*(0.12+MOD(ROW(),7)/100),2)</f>
        <v>45488.63</v>
      </c>
      <c r="S633" s="7">
        <f t="shared" si="9"/>
        <v>2623</v>
      </c>
      <c r="T633" s="5">
        <f>tbl_financials[[#This Row],[Gross_Profit]]-tbl_financials[[#This Row],[Operating_Expenses]]+tbl_financials[[#This Row],[Other_Income]]</f>
        <v>-78128.13</v>
      </c>
      <c r="U633" s="11">
        <f>IF(tbl_financials[[#This Row],[Revenue]]=0,0,tbl_financials[[#This Row],[Net_Profit]]/tbl_financials[[#This Row],[Revenue]])</f>
        <v>-0.25762967115405228</v>
      </c>
      <c r="V633" s="11" t="str">
        <f>tbl_financials[[#This Row],[Month_Name]] &amp; "_" &amp; tbl_financials[[#This Row],[Year]]</f>
        <v>December_2013</v>
      </c>
      <c r="W633" s="11" t="str">
        <f>tbl_financials[[#This Row],[Month_Name]] &amp; "_" &amp; (tbl_financials[[#This Row],[Year]]-1)</f>
        <v>December_2012</v>
      </c>
      <c r="X63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34" spans="1:24" x14ac:dyDescent="0.3">
      <c r="A634" t="s">
        <v>7</v>
      </c>
      <c r="B634" t="s">
        <v>13</v>
      </c>
      <c r="C634" t="s">
        <v>33</v>
      </c>
      <c r="D634" t="s">
        <v>41</v>
      </c>
      <c r="E634" s="9">
        <v>2227.5</v>
      </c>
      <c r="F634" s="7">
        <v>5</v>
      </c>
      <c r="G634" s="7">
        <v>350</v>
      </c>
      <c r="H634" s="7">
        <v>779625</v>
      </c>
      <c r="I634" s="5">
        <v>109147.5</v>
      </c>
      <c r="J634" s="5">
        <v>670477.5</v>
      </c>
      <c r="K634" s="7">
        <v>579150</v>
      </c>
      <c r="L634" s="5">
        <v>91327.5</v>
      </c>
      <c r="M634" s="1">
        <v>41640</v>
      </c>
      <c r="N634">
        <v>1</v>
      </c>
      <c r="O634" t="s">
        <v>18</v>
      </c>
      <c r="P634" t="s">
        <v>12</v>
      </c>
      <c r="Q634" s="5">
        <f>tbl_financials[[#This Row],[Net_Sales]]</f>
        <v>670477.5</v>
      </c>
      <c r="R634" s="5">
        <f>ROUND(tbl_financials[[#This Row],[Revenue]]*(0.12+MOD(ROW(),7)/100),2)</f>
        <v>107276.4</v>
      </c>
      <c r="S634" s="7">
        <f t="shared" si="9"/>
        <v>2654</v>
      </c>
      <c r="T634" s="5">
        <f>tbl_financials[[#This Row],[Gross_Profit]]-tbl_financials[[#This Row],[Operating_Expenses]]+tbl_financials[[#This Row],[Other_Income]]</f>
        <v>-13294.899999999994</v>
      </c>
      <c r="U634" s="11">
        <f>IF(tbl_financials[[#This Row],[Revenue]]=0,0,tbl_financials[[#This Row],[Net_Profit]]/tbl_financials[[#This Row],[Revenue]])</f>
        <v>-1.982900246466137E-2</v>
      </c>
      <c r="V634" s="11" t="str">
        <f>tbl_financials[[#This Row],[Month_Name]] &amp; "_" &amp; tbl_financials[[#This Row],[Year]]</f>
        <v>January_2014</v>
      </c>
      <c r="W634" s="11" t="str">
        <f>tbl_financials[[#This Row],[Month_Name]] &amp; "_" &amp; (tbl_financials[[#This Row],[Year]]-1)</f>
        <v>January_2013</v>
      </c>
      <c r="X63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35" spans="1:24" x14ac:dyDescent="0.3">
      <c r="A635" t="s">
        <v>7</v>
      </c>
      <c r="B635" t="s">
        <v>16</v>
      </c>
      <c r="C635" t="s">
        <v>33</v>
      </c>
      <c r="D635" t="s">
        <v>41</v>
      </c>
      <c r="E635" s="9">
        <v>1199</v>
      </c>
      <c r="F635" s="7">
        <v>5</v>
      </c>
      <c r="G635" s="7">
        <v>350</v>
      </c>
      <c r="H635" s="7">
        <v>419650</v>
      </c>
      <c r="I635" s="5">
        <v>58751</v>
      </c>
      <c r="J635" s="5">
        <v>360899</v>
      </c>
      <c r="K635" s="7">
        <v>311740</v>
      </c>
      <c r="L635" s="5">
        <v>49159</v>
      </c>
      <c r="M635" s="1">
        <v>41730</v>
      </c>
      <c r="N635">
        <v>4</v>
      </c>
      <c r="O635" t="s">
        <v>21</v>
      </c>
      <c r="P635" t="s">
        <v>12</v>
      </c>
      <c r="Q635" s="5">
        <f>tbl_financials[[#This Row],[Net_Sales]]</f>
        <v>360899</v>
      </c>
      <c r="R635" s="5">
        <f>ROUND(tbl_financials[[#This Row],[Revenue]]*(0.12+MOD(ROW(),7)/100),2)</f>
        <v>61352.83</v>
      </c>
      <c r="S635" s="7">
        <f t="shared" si="9"/>
        <v>2685</v>
      </c>
      <c r="T635" s="5">
        <f>tbl_financials[[#This Row],[Gross_Profit]]-tbl_financials[[#This Row],[Operating_Expenses]]+tbl_financials[[#This Row],[Other_Income]]</f>
        <v>-9508.8300000000017</v>
      </c>
      <c r="U635" s="11">
        <f>IF(tbl_financials[[#This Row],[Revenue]]=0,0,tbl_financials[[#This Row],[Net_Profit]]/tbl_financials[[#This Row],[Revenue]])</f>
        <v>-2.6347620802495995E-2</v>
      </c>
      <c r="V635" s="11" t="str">
        <f>tbl_financials[[#This Row],[Month_Name]] &amp; "_" &amp; tbl_financials[[#This Row],[Year]]</f>
        <v>April_2014</v>
      </c>
      <c r="W635" s="11" t="str">
        <f>tbl_financials[[#This Row],[Month_Name]] &amp; "_" &amp; (tbl_financials[[#This Row],[Year]]-1)</f>
        <v>April_2013</v>
      </c>
      <c r="X63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36" spans="1:24" x14ac:dyDescent="0.3">
      <c r="A636" t="s">
        <v>7</v>
      </c>
      <c r="B636" t="s">
        <v>13</v>
      </c>
      <c r="C636" t="s">
        <v>33</v>
      </c>
      <c r="D636" t="s">
        <v>41</v>
      </c>
      <c r="E636" s="9">
        <v>200</v>
      </c>
      <c r="F636" s="7">
        <v>5</v>
      </c>
      <c r="G636" s="7">
        <v>350</v>
      </c>
      <c r="H636" s="7">
        <v>70000</v>
      </c>
      <c r="I636" s="5">
        <v>9800</v>
      </c>
      <c r="J636" s="5">
        <v>60200</v>
      </c>
      <c r="K636" s="7">
        <v>52000</v>
      </c>
      <c r="L636" s="5">
        <v>8200</v>
      </c>
      <c r="M636" s="1">
        <v>41760</v>
      </c>
      <c r="N636">
        <v>5</v>
      </c>
      <c r="O636" t="s">
        <v>22</v>
      </c>
      <c r="P636" t="s">
        <v>12</v>
      </c>
      <c r="Q636" s="5">
        <f>tbl_financials[[#This Row],[Net_Sales]]</f>
        <v>60200</v>
      </c>
      <c r="R636" s="5">
        <f>ROUND(tbl_financials[[#This Row],[Revenue]]*(0.12+MOD(ROW(),7)/100),2)</f>
        <v>10836</v>
      </c>
      <c r="S636" s="7">
        <f t="shared" si="9"/>
        <v>2716</v>
      </c>
      <c r="T636" s="5">
        <f>tbl_financials[[#This Row],[Gross_Profit]]-tbl_financials[[#This Row],[Operating_Expenses]]+tbl_financials[[#This Row],[Other_Income]]</f>
        <v>80</v>
      </c>
      <c r="U636" s="11">
        <f>IF(tbl_financials[[#This Row],[Revenue]]=0,0,tbl_financials[[#This Row],[Net_Profit]]/tbl_financials[[#This Row],[Revenue]])</f>
        <v>1.3289036544850499E-3</v>
      </c>
      <c r="V636" s="11" t="str">
        <f>tbl_financials[[#This Row],[Month_Name]] &amp; "_" &amp; tbl_financials[[#This Row],[Year]]</f>
        <v>May_2014</v>
      </c>
      <c r="W636" s="11" t="str">
        <f>tbl_financials[[#This Row],[Month_Name]] &amp; "_" &amp; (tbl_financials[[#This Row],[Year]]-1)</f>
        <v>May_2013</v>
      </c>
      <c r="X63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37" spans="1:24" x14ac:dyDescent="0.3">
      <c r="A637" t="s">
        <v>7</v>
      </c>
      <c r="B637" t="s">
        <v>13</v>
      </c>
      <c r="C637" t="s">
        <v>33</v>
      </c>
      <c r="D637" t="s">
        <v>41</v>
      </c>
      <c r="E637" s="9">
        <v>388</v>
      </c>
      <c r="F637" s="7">
        <v>5</v>
      </c>
      <c r="G637" s="7">
        <v>7</v>
      </c>
      <c r="H637" s="7">
        <v>2716</v>
      </c>
      <c r="I637" s="5">
        <v>380.24</v>
      </c>
      <c r="J637" s="5">
        <v>2335.7600000000002</v>
      </c>
      <c r="K637" s="7">
        <v>1940</v>
      </c>
      <c r="L637" s="5">
        <v>395.76</v>
      </c>
      <c r="M637" s="1">
        <v>41883</v>
      </c>
      <c r="N637">
        <v>9</v>
      </c>
      <c r="O637" t="s">
        <v>26</v>
      </c>
      <c r="P637" t="s">
        <v>12</v>
      </c>
      <c r="Q637" s="5">
        <f>tbl_financials[[#This Row],[Net_Sales]]</f>
        <v>2335.7600000000002</v>
      </c>
      <c r="R637" s="5">
        <f>ROUND(tbl_financials[[#This Row],[Revenue]]*(0.12+MOD(ROW(),7)/100),2)</f>
        <v>280.29000000000002</v>
      </c>
      <c r="S637" s="7">
        <f t="shared" si="9"/>
        <v>2747</v>
      </c>
      <c r="T637" s="5">
        <f>tbl_financials[[#This Row],[Gross_Profit]]-tbl_financials[[#This Row],[Operating_Expenses]]+tbl_financials[[#This Row],[Other_Income]]</f>
        <v>2862.47</v>
      </c>
      <c r="U637" s="11">
        <f>IF(tbl_financials[[#This Row],[Revenue]]=0,0,tbl_financials[[#This Row],[Net_Profit]]/tbl_financials[[#This Row],[Revenue]])</f>
        <v>1.2254983388704317</v>
      </c>
      <c r="V637" s="11" t="str">
        <f>tbl_financials[[#This Row],[Month_Name]] &amp; "_" &amp; tbl_financials[[#This Row],[Year]]</f>
        <v>September_2014</v>
      </c>
      <c r="W637" s="11" t="str">
        <f>tbl_financials[[#This Row],[Month_Name]] &amp; "_" &amp; (tbl_financials[[#This Row],[Year]]-1)</f>
        <v>September_2013</v>
      </c>
      <c r="X63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-0.71636187006678809</v>
      </c>
    </row>
    <row r="638" spans="1:24" x14ac:dyDescent="0.3">
      <c r="A638" t="s">
        <v>7</v>
      </c>
      <c r="B638" t="s">
        <v>17</v>
      </c>
      <c r="C638" t="s">
        <v>33</v>
      </c>
      <c r="D638" t="s">
        <v>41</v>
      </c>
      <c r="E638" s="9">
        <v>1727</v>
      </c>
      <c r="F638" s="7">
        <v>5</v>
      </c>
      <c r="G638" s="7">
        <v>7</v>
      </c>
      <c r="H638" s="7">
        <v>12089</v>
      </c>
      <c r="I638" s="5">
        <v>1692.46</v>
      </c>
      <c r="J638" s="5">
        <v>10396.540000000001</v>
      </c>
      <c r="K638" s="7">
        <v>8635</v>
      </c>
      <c r="L638" s="5">
        <v>1761.54</v>
      </c>
      <c r="M638" s="1">
        <v>41548</v>
      </c>
      <c r="N638">
        <v>10</v>
      </c>
      <c r="O638" t="s">
        <v>27</v>
      </c>
      <c r="P638" t="s">
        <v>11</v>
      </c>
      <c r="Q638" s="5">
        <f>tbl_financials[[#This Row],[Net_Sales]]</f>
        <v>10396.540000000001</v>
      </c>
      <c r="R638" s="5">
        <f>ROUND(tbl_financials[[#This Row],[Revenue]]*(0.12+MOD(ROW(),7)/100),2)</f>
        <v>1351.55</v>
      </c>
      <c r="S638" s="7">
        <f t="shared" si="9"/>
        <v>2778</v>
      </c>
      <c r="T638" s="5">
        <f>tbl_financials[[#This Row],[Gross_Profit]]-tbl_financials[[#This Row],[Operating_Expenses]]+tbl_financials[[#This Row],[Other_Income]]</f>
        <v>3187.99</v>
      </c>
      <c r="U638" s="11">
        <f>IF(tbl_financials[[#This Row],[Revenue]]=0,0,tbl_financials[[#This Row],[Net_Profit]]/tbl_financials[[#This Row],[Revenue]])</f>
        <v>0.30663951660841005</v>
      </c>
      <c r="V638" s="11" t="str">
        <f>tbl_financials[[#This Row],[Month_Name]] &amp; "_" &amp; tbl_financials[[#This Row],[Year]]</f>
        <v>October_2013</v>
      </c>
      <c r="W638" s="11" t="str">
        <f>tbl_financials[[#This Row],[Month_Name]] &amp; "_" &amp; (tbl_financials[[#This Row],[Year]]-1)</f>
        <v>October_2012</v>
      </c>
      <c r="X63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39" spans="1:24" x14ac:dyDescent="0.3">
      <c r="A639" t="s">
        <v>5</v>
      </c>
      <c r="B639" t="s">
        <v>13</v>
      </c>
      <c r="C639" t="s">
        <v>33</v>
      </c>
      <c r="D639" t="s">
        <v>41</v>
      </c>
      <c r="E639" s="9">
        <v>2300</v>
      </c>
      <c r="F639" s="7">
        <v>5</v>
      </c>
      <c r="G639" s="7">
        <v>15</v>
      </c>
      <c r="H639" s="7">
        <v>34500</v>
      </c>
      <c r="I639" s="5">
        <v>4830</v>
      </c>
      <c r="J639" s="5">
        <v>29670</v>
      </c>
      <c r="K639" s="7">
        <v>23000</v>
      </c>
      <c r="L639" s="5">
        <v>6670</v>
      </c>
      <c r="M639" s="1">
        <v>41974</v>
      </c>
      <c r="N639">
        <v>12</v>
      </c>
      <c r="O639" t="s">
        <v>29</v>
      </c>
      <c r="P639" t="s">
        <v>12</v>
      </c>
      <c r="Q639" s="5">
        <f>tbl_financials[[#This Row],[Net_Sales]]</f>
        <v>29670</v>
      </c>
      <c r="R639" s="5">
        <f>ROUND(tbl_financials[[#This Row],[Revenue]]*(0.12+MOD(ROW(),7)/100),2)</f>
        <v>4153.8</v>
      </c>
      <c r="S639" s="7">
        <f t="shared" si="9"/>
        <v>2809</v>
      </c>
      <c r="T639" s="5">
        <f>tbl_financials[[#This Row],[Gross_Profit]]-tbl_financials[[#This Row],[Operating_Expenses]]+tbl_financials[[#This Row],[Other_Income]]</f>
        <v>5325.2</v>
      </c>
      <c r="U639" s="11">
        <f>IF(tbl_financials[[#This Row],[Revenue]]=0,0,tbl_financials[[#This Row],[Net_Profit]]/tbl_financials[[#This Row],[Revenue]])</f>
        <v>0.17948095719582069</v>
      </c>
      <c r="V639" s="11" t="str">
        <f>tbl_financials[[#This Row],[Month_Name]] &amp; "_" &amp; tbl_financials[[#This Row],[Year]]</f>
        <v>December_2014</v>
      </c>
      <c r="W639" s="11" t="str">
        <f>tbl_financials[[#This Row],[Month_Name]] &amp; "_" &amp; (tbl_financials[[#This Row],[Year]]-1)</f>
        <v>December_2013</v>
      </c>
      <c r="X63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-8.0855018587360591E-2</v>
      </c>
    </row>
    <row r="640" spans="1:24" x14ac:dyDescent="0.3">
      <c r="A640" t="s">
        <v>7</v>
      </c>
      <c r="B640" t="s">
        <v>17</v>
      </c>
      <c r="C640" t="s">
        <v>34</v>
      </c>
      <c r="D640" t="s">
        <v>41</v>
      </c>
      <c r="E640" s="9">
        <v>260</v>
      </c>
      <c r="F640" s="7">
        <v>10</v>
      </c>
      <c r="G640" s="7">
        <v>20</v>
      </c>
      <c r="H640" s="7">
        <v>5200</v>
      </c>
      <c r="I640" s="5">
        <v>728</v>
      </c>
      <c r="J640" s="5">
        <v>4472</v>
      </c>
      <c r="K640" s="7">
        <v>2600</v>
      </c>
      <c r="L640" s="5">
        <v>1872</v>
      </c>
      <c r="M640" s="1">
        <v>41671</v>
      </c>
      <c r="N640">
        <v>2</v>
      </c>
      <c r="O640" t="s">
        <v>19</v>
      </c>
      <c r="P640" t="s">
        <v>12</v>
      </c>
      <c r="Q640" s="5">
        <f>tbl_financials[[#This Row],[Net_Sales]]</f>
        <v>4472</v>
      </c>
      <c r="R640" s="5">
        <f>ROUND(tbl_financials[[#This Row],[Revenue]]*(0.12+MOD(ROW(),7)/100),2)</f>
        <v>670.8</v>
      </c>
      <c r="S640" s="7">
        <f t="shared" si="9"/>
        <v>2840</v>
      </c>
      <c r="T640" s="5">
        <f>tbl_financials[[#This Row],[Gross_Profit]]-tbl_financials[[#This Row],[Operating_Expenses]]+tbl_financials[[#This Row],[Other_Income]]</f>
        <v>4041.2</v>
      </c>
      <c r="U640" s="11">
        <f>IF(tbl_financials[[#This Row],[Revenue]]=0,0,tbl_financials[[#This Row],[Net_Profit]]/tbl_financials[[#This Row],[Revenue]])</f>
        <v>0.90366726296958855</v>
      </c>
      <c r="V640" s="11" t="str">
        <f>tbl_financials[[#This Row],[Month_Name]] &amp; "_" &amp; tbl_financials[[#This Row],[Year]]</f>
        <v>February_2014</v>
      </c>
      <c r="W640" s="11" t="str">
        <f>tbl_financials[[#This Row],[Month_Name]] &amp; "_" &amp; (tbl_financials[[#This Row],[Year]]-1)</f>
        <v>February_2013</v>
      </c>
      <c r="X64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41" spans="1:24" x14ac:dyDescent="0.3">
      <c r="A641" t="s">
        <v>5</v>
      </c>
      <c r="B641" t="s">
        <v>13</v>
      </c>
      <c r="C641" t="s">
        <v>34</v>
      </c>
      <c r="D641" t="s">
        <v>41</v>
      </c>
      <c r="E641" s="9">
        <v>2470</v>
      </c>
      <c r="F641" s="7">
        <v>10</v>
      </c>
      <c r="G641" s="7">
        <v>15</v>
      </c>
      <c r="H641" s="7">
        <v>37050</v>
      </c>
      <c r="I641" s="5">
        <v>5187</v>
      </c>
      <c r="J641" s="5">
        <v>31863</v>
      </c>
      <c r="K641" s="7">
        <v>24700</v>
      </c>
      <c r="L641" s="5">
        <v>7163</v>
      </c>
      <c r="M641" s="1">
        <v>41518</v>
      </c>
      <c r="N641">
        <v>9</v>
      </c>
      <c r="O641" t="s">
        <v>26</v>
      </c>
      <c r="P641" t="s">
        <v>11</v>
      </c>
      <c r="Q641" s="5">
        <f>tbl_financials[[#This Row],[Net_Sales]]</f>
        <v>31863</v>
      </c>
      <c r="R641" s="5">
        <f>ROUND(tbl_financials[[#This Row],[Revenue]]*(0.12+MOD(ROW(),7)/100),2)</f>
        <v>5098.08</v>
      </c>
      <c r="S641" s="7">
        <f t="shared" si="9"/>
        <v>2871</v>
      </c>
      <c r="T641" s="5">
        <f>tbl_financials[[#This Row],[Gross_Profit]]-tbl_financials[[#This Row],[Operating_Expenses]]+tbl_financials[[#This Row],[Other_Income]]</f>
        <v>4935.92</v>
      </c>
      <c r="U641" s="11">
        <f>IF(tbl_financials[[#This Row],[Revenue]]=0,0,tbl_financials[[#This Row],[Net_Profit]]/tbl_financials[[#This Row],[Revenue]])</f>
        <v>0.15491071148353891</v>
      </c>
      <c r="V641" s="11" t="str">
        <f>tbl_financials[[#This Row],[Month_Name]] &amp; "_" &amp; tbl_financials[[#This Row],[Year]]</f>
        <v>September_2013</v>
      </c>
      <c r="W641" s="11" t="str">
        <f>tbl_financials[[#This Row],[Month_Name]] &amp; "_" &amp; (tbl_financials[[#This Row],[Year]]-1)</f>
        <v>September_2012</v>
      </c>
      <c r="X64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42" spans="1:24" x14ac:dyDescent="0.3">
      <c r="A642" t="s">
        <v>5</v>
      </c>
      <c r="B642" t="s">
        <v>13</v>
      </c>
      <c r="C642" t="s">
        <v>34</v>
      </c>
      <c r="D642" t="s">
        <v>41</v>
      </c>
      <c r="E642" s="9">
        <v>1743</v>
      </c>
      <c r="F642" s="7">
        <v>10</v>
      </c>
      <c r="G642" s="7">
        <v>15</v>
      </c>
      <c r="H642" s="7">
        <v>26145</v>
      </c>
      <c r="I642" s="5">
        <v>3660.3</v>
      </c>
      <c r="J642" s="5">
        <v>22484.7</v>
      </c>
      <c r="K642" s="7">
        <v>17430</v>
      </c>
      <c r="L642" s="5">
        <v>5054.7</v>
      </c>
      <c r="M642" s="1">
        <v>41548</v>
      </c>
      <c r="N642">
        <v>10</v>
      </c>
      <c r="O642" t="s">
        <v>27</v>
      </c>
      <c r="P642" t="s">
        <v>11</v>
      </c>
      <c r="Q642" s="5">
        <f>tbl_financials[[#This Row],[Net_Sales]]</f>
        <v>22484.7</v>
      </c>
      <c r="R642" s="5">
        <f>ROUND(tbl_financials[[#This Row],[Revenue]]*(0.12+MOD(ROW(),7)/100),2)</f>
        <v>3822.4</v>
      </c>
      <c r="S642" s="7">
        <f t="shared" ref="S642:S701" si="10">ROUND(1000+MOD(ROW()*31,9000),0)</f>
        <v>2902</v>
      </c>
      <c r="T642" s="5">
        <f>tbl_financials[[#This Row],[Gross_Profit]]-tbl_financials[[#This Row],[Operating_Expenses]]+tbl_financials[[#This Row],[Other_Income]]</f>
        <v>4134.2999999999993</v>
      </c>
      <c r="U642" s="11">
        <f>IF(tbl_financials[[#This Row],[Revenue]]=0,0,tbl_financials[[#This Row],[Net_Profit]]/tbl_financials[[#This Row],[Revenue]])</f>
        <v>0.18387169942227377</v>
      </c>
      <c r="V642" s="11" t="str">
        <f>tbl_financials[[#This Row],[Month_Name]] &amp; "_" &amp; tbl_financials[[#This Row],[Year]]</f>
        <v>October_2013</v>
      </c>
      <c r="W642" s="11" t="str">
        <f>tbl_financials[[#This Row],[Month_Name]] &amp; "_" &amp; (tbl_financials[[#This Row],[Year]]-1)</f>
        <v>October_2012</v>
      </c>
      <c r="X64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43" spans="1:24" x14ac:dyDescent="0.3">
      <c r="A643" t="s">
        <v>8</v>
      </c>
      <c r="B643" t="s">
        <v>14</v>
      </c>
      <c r="C643" t="s">
        <v>34</v>
      </c>
      <c r="D643" t="s">
        <v>41</v>
      </c>
      <c r="E643" s="9">
        <v>2914</v>
      </c>
      <c r="F643" s="7">
        <v>10</v>
      </c>
      <c r="G643" s="7">
        <v>12</v>
      </c>
      <c r="H643" s="7">
        <v>34968</v>
      </c>
      <c r="I643" s="5">
        <v>4895.5200000000004</v>
      </c>
      <c r="J643" s="5">
        <v>30072.48</v>
      </c>
      <c r="K643" s="7">
        <v>8742</v>
      </c>
      <c r="L643" s="5">
        <v>21330.48</v>
      </c>
      <c r="M643" s="1">
        <v>41913</v>
      </c>
      <c r="N643">
        <v>10</v>
      </c>
      <c r="O643" t="s">
        <v>27</v>
      </c>
      <c r="P643" t="s">
        <v>12</v>
      </c>
      <c r="Q643" s="5">
        <f>tbl_financials[[#This Row],[Net_Sales]]</f>
        <v>30072.48</v>
      </c>
      <c r="R643" s="5">
        <f>ROUND(tbl_financials[[#This Row],[Revenue]]*(0.12+MOD(ROW(),7)/100),2)</f>
        <v>5413.05</v>
      </c>
      <c r="S643" s="7">
        <f t="shared" si="10"/>
        <v>2933</v>
      </c>
      <c r="T643" s="5">
        <f>tbl_financials[[#This Row],[Gross_Profit]]-tbl_financials[[#This Row],[Operating_Expenses]]+tbl_financials[[#This Row],[Other_Income]]</f>
        <v>18850.43</v>
      </c>
      <c r="U643" s="11">
        <f>IF(tbl_financials[[#This Row],[Revenue]]=0,0,tbl_financials[[#This Row],[Net_Profit]]/tbl_financials[[#This Row],[Revenue]])</f>
        <v>0.62683323756471032</v>
      </c>
      <c r="V643" s="11" t="str">
        <f>tbl_financials[[#This Row],[Month_Name]] &amp; "_" &amp; tbl_financials[[#This Row],[Year]]</f>
        <v>October_2014</v>
      </c>
      <c r="W643" s="11" t="str">
        <f>tbl_financials[[#This Row],[Month_Name]] &amp; "_" &amp; (tbl_financials[[#This Row],[Year]]-1)</f>
        <v>October_2013</v>
      </c>
      <c r="X64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-0.30266713043478261</v>
      </c>
    </row>
    <row r="644" spans="1:24" x14ac:dyDescent="0.3">
      <c r="A644" t="s">
        <v>7</v>
      </c>
      <c r="B644" t="s">
        <v>15</v>
      </c>
      <c r="C644" t="s">
        <v>34</v>
      </c>
      <c r="D644" t="s">
        <v>41</v>
      </c>
      <c r="E644" s="9">
        <v>1731</v>
      </c>
      <c r="F644" s="7">
        <v>10</v>
      </c>
      <c r="G644" s="7">
        <v>7</v>
      </c>
      <c r="H644" s="7">
        <v>12117</v>
      </c>
      <c r="I644" s="5">
        <v>1696.38</v>
      </c>
      <c r="J644" s="5">
        <v>10420.619999999901</v>
      </c>
      <c r="K644" s="7">
        <v>8655</v>
      </c>
      <c r="L644" s="5">
        <v>1765.6199999999899</v>
      </c>
      <c r="M644" s="1">
        <v>41913</v>
      </c>
      <c r="N644">
        <v>10</v>
      </c>
      <c r="O644" t="s">
        <v>27</v>
      </c>
      <c r="P644" t="s">
        <v>12</v>
      </c>
      <c r="Q644" s="5">
        <f>tbl_financials[[#This Row],[Net_Sales]]</f>
        <v>10420.619999999901</v>
      </c>
      <c r="R644" s="5">
        <f>ROUND(tbl_financials[[#This Row],[Revenue]]*(0.12+MOD(ROW(),7)/100),2)</f>
        <v>1250.47</v>
      </c>
      <c r="S644" s="7">
        <f t="shared" si="10"/>
        <v>2964</v>
      </c>
      <c r="T644" s="5">
        <f>tbl_financials[[#This Row],[Gross_Profit]]-tbl_financials[[#This Row],[Operating_Expenses]]+tbl_financials[[#This Row],[Other_Income]]</f>
        <v>3479.1499999999896</v>
      </c>
      <c r="U644" s="11">
        <f>IF(tbl_financials[[#This Row],[Revenue]]=0,0,tbl_financials[[#This Row],[Net_Profit]]/tbl_financials[[#This Row],[Revenue]])</f>
        <v>0.33387168901658659</v>
      </c>
      <c r="V644" s="11" t="str">
        <f>tbl_financials[[#This Row],[Month_Name]] &amp; "_" &amp; tbl_financials[[#This Row],[Year]]</f>
        <v>October_2014</v>
      </c>
      <c r="W644" s="11" t="str">
        <f>tbl_financials[[#This Row],[Month_Name]] &amp; "_" &amp; (tbl_financials[[#This Row],[Year]]-1)</f>
        <v>October_2013</v>
      </c>
      <c r="X64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-0.75836243478261101</v>
      </c>
    </row>
    <row r="645" spans="1:24" x14ac:dyDescent="0.3">
      <c r="A645" t="s">
        <v>7</v>
      </c>
      <c r="B645" t="s">
        <v>13</v>
      </c>
      <c r="C645" t="s">
        <v>34</v>
      </c>
      <c r="D645" t="s">
        <v>41</v>
      </c>
      <c r="E645" s="9">
        <v>700</v>
      </c>
      <c r="F645" s="7">
        <v>10</v>
      </c>
      <c r="G645" s="7">
        <v>350</v>
      </c>
      <c r="H645" s="7">
        <v>245000</v>
      </c>
      <c r="I645" s="5">
        <v>34300</v>
      </c>
      <c r="J645" s="5">
        <v>210700</v>
      </c>
      <c r="K645" s="7">
        <v>182000</v>
      </c>
      <c r="L645" s="5">
        <v>28700</v>
      </c>
      <c r="M645" s="1">
        <v>41944</v>
      </c>
      <c r="N645">
        <v>11</v>
      </c>
      <c r="O645" t="s">
        <v>28</v>
      </c>
      <c r="P645" t="s">
        <v>12</v>
      </c>
      <c r="Q645" s="5">
        <f>tbl_financials[[#This Row],[Net_Sales]]</f>
        <v>210700</v>
      </c>
      <c r="R645" s="5">
        <f>ROUND(tbl_financials[[#This Row],[Revenue]]*(0.12+MOD(ROW(),7)/100),2)</f>
        <v>27391</v>
      </c>
      <c r="S645" s="7">
        <f t="shared" si="10"/>
        <v>2995</v>
      </c>
      <c r="T645" s="5">
        <f>tbl_financials[[#This Row],[Gross_Profit]]-tbl_financials[[#This Row],[Operating_Expenses]]+tbl_financials[[#This Row],[Other_Income]]</f>
        <v>4304</v>
      </c>
      <c r="U645" s="11">
        <f>IF(tbl_financials[[#This Row],[Revenue]]=0,0,tbl_financials[[#This Row],[Net_Profit]]/tbl_financials[[#This Row],[Revenue]])</f>
        <v>2.0427147603227336E-2</v>
      </c>
      <c r="V645" s="11" t="str">
        <f>tbl_financials[[#This Row],[Month_Name]] &amp; "_" &amp; tbl_financials[[#This Row],[Year]]</f>
        <v>November_2014</v>
      </c>
      <c r="W645" s="11" t="str">
        <f>tbl_financials[[#This Row],[Month_Name]] &amp; "_" &amp; (tbl_financials[[#This Row],[Year]]-1)</f>
        <v>November_2013</v>
      </c>
      <c r="X64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-0.65101449275362322</v>
      </c>
    </row>
    <row r="646" spans="1:24" x14ac:dyDescent="0.3">
      <c r="A646" t="s">
        <v>8</v>
      </c>
      <c r="B646" t="s">
        <v>13</v>
      </c>
      <c r="C646" t="s">
        <v>34</v>
      </c>
      <c r="D646" t="s">
        <v>41</v>
      </c>
      <c r="E646" s="9">
        <v>2222</v>
      </c>
      <c r="F646" s="7">
        <v>10</v>
      </c>
      <c r="G646" s="7">
        <v>12</v>
      </c>
      <c r="H646" s="7">
        <v>26664</v>
      </c>
      <c r="I646" s="5">
        <v>3732.96</v>
      </c>
      <c r="J646" s="5">
        <v>22931.040000000001</v>
      </c>
      <c r="K646" s="7">
        <v>6666</v>
      </c>
      <c r="L646" s="5">
        <v>16265.04</v>
      </c>
      <c r="M646" s="1">
        <v>41579</v>
      </c>
      <c r="N646">
        <v>11</v>
      </c>
      <c r="O646" t="s">
        <v>28</v>
      </c>
      <c r="P646" t="s">
        <v>11</v>
      </c>
      <c r="Q646" s="5">
        <f>tbl_financials[[#This Row],[Net_Sales]]</f>
        <v>22931.040000000001</v>
      </c>
      <c r="R646" s="5">
        <f>ROUND(tbl_financials[[#This Row],[Revenue]]*(0.12+MOD(ROW(),7)/100),2)</f>
        <v>3210.35</v>
      </c>
      <c r="S646" s="7">
        <f t="shared" si="10"/>
        <v>3026</v>
      </c>
      <c r="T646" s="5">
        <f>tbl_financials[[#This Row],[Gross_Profit]]-tbl_financials[[#This Row],[Operating_Expenses]]+tbl_financials[[#This Row],[Other_Income]]</f>
        <v>16080.69</v>
      </c>
      <c r="U646" s="11">
        <f>IF(tbl_financials[[#This Row],[Revenue]]=0,0,tbl_financials[[#This Row],[Net_Profit]]/tbl_financials[[#This Row],[Revenue]])</f>
        <v>0.70126300420739751</v>
      </c>
      <c r="V646" s="11" t="str">
        <f>tbl_financials[[#This Row],[Month_Name]] &amp; "_" &amp; tbl_financials[[#This Row],[Year]]</f>
        <v>November_2013</v>
      </c>
      <c r="W646" s="11" t="str">
        <f>tbl_financials[[#This Row],[Month_Name]] &amp; "_" &amp; (tbl_financials[[#This Row],[Year]]-1)</f>
        <v>November_2012</v>
      </c>
      <c r="X64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47" spans="1:24" x14ac:dyDescent="0.3">
      <c r="A647" t="s">
        <v>7</v>
      </c>
      <c r="B647" t="s">
        <v>14</v>
      </c>
      <c r="C647" t="s">
        <v>34</v>
      </c>
      <c r="D647" t="s">
        <v>41</v>
      </c>
      <c r="E647" s="9">
        <v>1177</v>
      </c>
      <c r="F647" s="7">
        <v>10</v>
      </c>
      <c r="G647" s="7">
        <v>350</v>
      </c>
      <c r="H647" s="7">
        <v>411950</v>
      </c>
      <c r="I647" s="5">
        <v>57673</v>
      </c>
      <c r="J647" s="5">
        <v>354277</v>
      </c>
      <c r="K647" s="7">
        <v>306020</v>
      </c>
      <c r="L647" s="5">
        <v>48257</v>
      </c>
      <c r="M647" s="1">
        <v>41944</v>
      </c>
      <c r="N647">
        <v>11</v>
      </c>
      <c r="O647" t="s">
        <v>28</v>
      </c>
      <c r="P647" t="s">
        <v>12</v>
      </c>
      <c r="Q647" s="5">
        <f>tbl_financials[[#This Row],[Net_Sales]]</f>
        <v>354277</v>
      </c>
      <c r="R647" s="5">
        <f>ROUND(tbl_financials[[#This Row],[Revenue]]*(0.12+MOD(ROW(),7)/100),2)</f>
        <v>53141.55</v>
      </c>
      <c r="S647" s="7">
        <f t="shared" si="10"/>
        <v>3057</v>
      </c>
      <c r="T647" s="5">
        <f>tbl_financials[[#This Row],[Gross_Profit]]-tbl_financials[[#This Row],[Operating_Expenses]]+tbl_financials[[#This Row],[Other_Income]]</f>
        <v>-1827.5500000000029</v>
      </c>
      <c r="U647" s="11">
        <f>IF(tbl_financials[[#This Row],[Revenue]]=0,0,tbl_financials[[#This Row],[Net_Profit]]/tbl_financials[[#This Row],[Revenue]])</f>
        <v>-5.1585341413639694E-3</v>
      </c>
      <c r="V647" s="11" t="str">
        <f>tbl_financials[[#This Row],[Month_Name]] &amp; "_" &amp; tbl_financials[[#This Row],[Year]]</f>
        <v>November_2014</v>
      </c>
      <c r="W647" s="11" t="str">
        <f>tbl_financials[[#This Row],[Month_Name]] &amp; "_" &amp; (tbl_financials[[#This Row],[Year]]-1)</f>
        <v>November_2013</v>
      </c>
      <c r="X64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-0.41320579710144928</v>
      </c>
    </row>
    <row r="648" spans="1:24" x14ac:dyDescent="0.3">
      <c r="A648" t="s">
        <v>7</v>
      </c>
      <c r="B648" t="s">
        <v>15</v>
      </c>
      <c r="C648" t="s">
        <v>34</v>
      </c>
      <c r="D648" t="s">
        <v>41</v>
      </c>
      <c r="E648" s="9">
        <v>1922</v>
      </c>
      <c r="F648" s="7">
        <v>10</v>
      </c>
      <c r="G648" s="7">
        <v>350</v>
      </c>
      <c r="H648" s="7">
        <v>672700</v>
      </c>
      <c r="I648" s="5">
        <v>94178</v>
      </c>
      <c r="J648" s="5">
        <v>578522</v>
      </c>
      <c r="K648" s="7">
        <v>499720</v>
      </c>
      <c r="L648" s="5">
        <v>78802</v>
      </c>
      <c r="M648" s="1">
        <v>41579</v>
      </c>
      <c r="N648">
        <v>11</v>
      </c>
      <c r="O648" t="s">
        <v>28</v>
      </c>
      <c r="P648" t="s">
        <v>11</v>
      </c>
      <c r="Q648" s="5">
        <f>tbl_financials[[#This Row],[Net_Sales]]</f>
        <v>578522</v>
      </c>
      <c r="R648" s="5">
        <f>ROUND(tbl_financials[[#This Row],[Revenue]]*(0.12+MOD(ROW(),7)/100),2)</f>
        <v>92563.520000000004</v>
      </c>
      <c r="S648" s="7">
        <f t="shared" si="10"/>
        <v>3088</v>
      </c>
      <c r="T648" s="5">
        <f>tbl_financials[[#This Row],[Gross_Profit]]-tbl_financials[[#This Row],[Operating_Expenses]]+tbl_financials[[#This Row],[Other_Income]]</f>
        <v>-10673.520000000004</v>
      </c>
      <c r="U648" s="11">
        <f>IF(tbl_financials[[#This Row],[Revenue]]=0,0,tbl_financials[[#This Row],[Net_Profit]]/tbl_financials[[#This Row],[Revenue]])</f>
        <v>-1.8449635450337246E-2</v>
      </c>
      <c r="V648" s="11" t="str">
        <f>tbl_financials[[#This Row],[Month_Name]] &amp; "_" &amp; tbl_financials[[#This Row],[Year]]</f>
        <v>November_2013</v>
      </c>
      <c r="W648" s="11" t="str">
        <f>tbl_financials[[#This Row],[Month_Name]] &amp; "_" &amp; (tbl_financials[[#This Row],[Year]]-1)</f>
        <v>November_2012</v>
      </c>
      <c r="X64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49" spans="1:24" x14ac:dyDescent="0.3">
      <c r="A649" t="s">
        <v>6</v>
      </c>
      <c r="B649" t="s">
        <v>17</v>
      </c>
      <c r="C649" t="s">
        <v>35</v>
      </c>
      <c r="D649" t="s">
        <v>41</v>
      </c>
      <c r="E649" s="9">
        <v>1575</v>
      </c>
      <c r="F649" s="7">
        <v>120</v>
      </c>
      <c r="G649" s="7">
        <v>125</v>
      </c>
      <c r="H649" s="7">
        <v>196875</v>
      </c>
      <c r="I649" s="5">
        <v>27562.5</v>
      </c>
      <c r="J649" s="5">
        <v>169312.5</v>
      </c>
      <c r="K649" s="7">
        <v>189000</v>
      </c>
      <c r="L649" s="5">
        <v>-19687.5</v>
      </c>
      <c r="M649" s="1">
        <v>41671</v>
      </c>
      <c r="N649">
        <v>2</v>
      </c>
      <c r="O649" t="s">
        <v>19</v>
      </c>
      <c r="P649" t="s">
        <v>12</v>
      </c>
      <c r="Q649" s="5">
        <f>tbl_financials[[#This Row],[Net_Sales]]</f>
        <v>169312.5</v>
      </c>
      <c r="R649" s="5">
        <f>ROUND(tbl_financials[[#This Row],[Revenue]]*(0.12+MOD(ROW(),7)/100),2)</f>
        <v>28783.13</v>
      </c>
      <c r="S649" s="7">
        <f t="shared" si="10"/>
        <v>3119</v>
      </c>
      <c r="T649" s="5">
        <f>tbl_financials[[#This Row],[Gross_Profit]]-tbl_financials[[#This Row],[Operating_Expenses]]+tbl_financials[[#This Row],[Other_Income]]</f>
        <v>-45351.630000000005</v>
      </c>
      <c r="U649" s="11">
        <f>IF(tbl_financials[[#This Row],[Revenue]]=0,0,tbl_financials[[#This Row],[Net_Profit]]/tbl_financials[[#This Row],[Revenue]])</f>
        <v>-0.26785754152823921</v>
      </c>
      <c r="V649" s="11" t="str">
        <f>tbl_financials[[#This Row],[Month_Name]] &amp; "_" &amp; tbl_financials[[#This Row],[Year]]</f>
        <v>February_2014</v>
      </c>
      <c r="W649" s="11" t="str">
        <f>tbl_financials[[#This Row],[Month_Name]] &amp; "_" &amp; (tbl_financials[[#This Row],[Year]]-1)</f>
        <v>February_2013</v>
      </c>
      <c r="X64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50" spans="1:24" x14ac:dyDescent="0.3">
      <c r="A650" t="s">
        <v>7</v>
      </c>
      <c r="B650" t="s">
        <v>14</v>
      </c>
      <c r="C650" t="s">
        <v>35</v>
      </c>
      <c r="D650" t="s">
        <v>41</v>
      </c>
      <c r="E650" s="9">
        <v>606</v>
      </c>
      <c r="F650" s="7">
        <v>120</v>
      </c>
      <c r="G650" s="7">
        <v>20</v>
      </c>
      <c r="H650" s="7">
        <v>12120</v>
      </c>
      <c r="I650" s="5">
        <v>1696.8</v>
      </c>
      <c r="J650" s="5">
        <v>10423.200000000001</v>
      </c>
      <c r="K650" s="7">
        <v>6060</v>
      </c>
      <c r="L650" s="5">
        <v>4363.2</v>
      </c>
      <c r="M650" s="1">
        <v>41730</v>
      </c>
      <c r="N650">
        <v>4</v>
      </c>
      <c r="O650" t="s">
        <v>21</v>
      </c>
      <c r="P650" t="s">
        <v>12</v>
      </c>
      <c r="Q650" s="5">
        <f>tbl_financials[[#This Row],[Net_Sales]]</f>
        <v>10423.200000000001</v>
      </c>
      <c r="R650" s="5">
        <f>ROUND(tbl_financials[[#This Row],[Revenue]]*(0.12+MOD(ROW(),7)/100),2)</f>
        <v>1876.18</v>
      </c>
      <c r="S650" s="7">
        <f t="shared" si="10"/>
        <v>3150</v>
      </c>
      <c r="T650" s="5">
        <f>tbl_financials[[#This Row],[Gross_Profit]]-tbl_financials[[#This Row],[Operating_Expenses]]+tbl_financials[[#This Row],[Other_Income]]</f>
        <v>5637.0199999999995</v>
      </c>
      <c r="U650" s="11">
        <f>IF(tbl_financials[[#This Row],[Revenue]]=0,0,tbl_financials[[#This Row],[Net_Profit]]/tbl_financials[[#This Row],[Revenue]])</f>
        <v>0.54081472100698436</v>
      </c>
      <c r="V650" s="11" t="str">
        <f>tbl_financials[[#This Row],[Month_Name]] &amp; "_" &amp; tbl_financials[[#This Row],[Year]]</f>
        <v>April_2014</v>
      </c>
      <c r="W650" s="11" t="str">
        <f>tbl_financials[[#This Row],[Month_Name]] &amp; "_" &amp; (tbl_financials[[#This Row],[Year]]-1)</f>
        <v>April_2013</v>
      </c>
      <c r="X65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51" spans="1:24" x14ac:dyDescent="0.3">
      <c r="A651" t="s">
        <v>4</v>
      </c>
      <c r="B651" t="s">
        <v>14</v>
      </c>
      <c r="C651" t="s">
        <v>35</v>
      </c>
      <c r="D651" t="s">
        <v>41</v>
      </c>
      <c r="E651" s="9">
        <v>2460</v>
      </c>
      <c r="F651" s="7">
        <v>120</v>
      </c>
      <c r="G651" s="7">
        <v>300</v>
      </c>
      <c r="H651" s="7">
        <v>738000</v>
      </c>
      <c r="I651" s="5">
        <v>103320</v>
      </c>
      <c r="J651" s="5">
        <v>634680</v>
      </c>
      <c r="K651" s="7">
        <v>615000</v>
      </c>
      <c r="L651" s="5">
        <v>19680</v>
      </c>
      <c r="M651" s="1">
        <v>41821</v>
      </c>
      <c r="N651">
        <v>7</v>
      </c>
      <c r="O651" t="s">
        <v>24</v>
      </c>
      <c r="P651" t="s">
        <v>12</v>
      </c>
      <c r="Q651" s="5">
        <f>tbl_financials[[#This Row],[Net_Sales]]</f>
        <v>634680</v>
      </c>
      <c r="R651" s="5">
        <f>ROUND(tbl_financials[[#This Row],[Revenue]]*(0.12+MOD(ROW(),7)/100),2)</f>
        <v>76161.600000000006</v>
      </c>
      <c r="S651" s="7">
        <f t="shared" si="10"/>
        <v>3181</v>
      </c>
      <c r="T651" s="5">
        <f>tbl_financials[[#This Row],[Gross_Profit]]-tbl_financials[[#This Row],[Operating_Expenses]]+tbl_financials[[#This Row],[Other_Income]]</f>
        <v>-53300.600000000006</v>
      </c>
      <c r="U651" s="11">
        <f>IF(tbl_financials[[#This Row],[Revenue]]=0,0,tbl_financials[[#This Row],[Net_Profit]]/tbl_financials[[#This Row],[Revenue]])</f>
        <v>-8.398027352366548E-2</v>
      </c>
      <c r="V651" s="11" t="str">
        <f>tbl_financials[[#This Row],[Month_Name]] &amp; "_" &amp; tbl_financials[[#This Row],[Year]]</f>
        <v>July_2014</v>
      </c>
      <c r="W651" s="11" t="str">
        <f>tbl_financials[[#This Row],[Month_Name]] &amp; "_" &amp; (tbl_financials[[#This Row],[Year]]-1)</f>
        <v>July_2013</v>
      </c>
      <c r="X65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52" spans="1:24" x14ac:dyDescent="0.3">
      <c r="A652" t="s">
        <v>4</v>
      </c>
      <c r="B652" t="s">
        <v>13</v>
      </c>
      <c r="C652" t="s">
        <v>35</v>
      </c>
      <c r="D652" t="s">
        <v>41</v>
      </c>
      <c r="E652" s="9">
        <v>269</v>
      </c>
      <c r="F652" s="7">
        <v>120</v>
      </c>
      <c r="G652" s="7">
        <v>300</v>
      </c>
      <c r="H652" s="7">
        <v>80700</v>
      </c>
      <c r="I652" s="5">
        <v>11298</v>
      </c>
      <c r="J652" s="5">
        <v>69402</v>
      </c>
      <c r="K652" s="7">
        <v>67250</v>
      </c>
      <c r="L652" s="5">
        <v>2152</v>
      </c>
      <c r="M652" s="1">
        <v>41548</v>
      </c>
      <c r="N652">
        <v>10</v>
      </c>
      <c r="O652" t="s">
        <v>27</v>
      </c>
      <c r="P652" t="s">
        <v>11</v>
      </c>
      <c r="Q652" s="5">
        <f>tbl_financials[[#This Row],[Net_Sales]]</f>
        <v>69402</v>
      </c>
      <c r="R652" s="5">
        <f>ROUND(tbl_financials[[#This Row],[Revenue]]*(0.12+MOD(ROW(),7)/100),2)</f>
        <v>9022.26</v>
      </c>
      <c r="S652" s="7">
        <f t="shared" si="10"/>
        <v>3212</v>
      </c>
      <c r="T652" s="5">
        <f>tbl_financials[[#This Row],[Gross_Profit]]-tbl_financials[[#This Row],[Operating_Expenses]]+tbl_financials[[#This Row],[Other_Income]]</f>
        <v>-3658.26</v>
      </c>
      <c r="U652" s="11">
        <f>IF(tbl_financials[[#This Row],[Revenue]]=0,0,tbl_financials[[#This Row],[Net_Profit]]/tbl_financials[[#This Row],[Revenue]])</f>
        <v>-5.2711161061640879E-2</v>
      </c>
      <c r="V652" s="11" t="str">
        <f>tbl_financials[[#This Row],[Month_Name]] &amp; "_" &amp; tbl_financials[[#This Row],[Year]]</f>
        <v>October_2013</v>
      </c>
      <c r="W652" s="11" t="str">
        <f>tbl_financials[[#This Row],[Month_Name]] &amp; "_" &amp; (tbl_financials[[#This Row],[Year]]-1)</f>
        <v>October_2012</v>
      </c>
      <c r="X65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53" spans="1:24" x14ac:dyDescent="0.3">
      <c r="A653" t="s">
        <v>4</v>
      </c>
      <c r="B653" t="s">
        <v>16</v>
      </c>
      <c r="C653" t="s">
        <v>35</v>
      </c>
      <c r="D653" t="s">
        <v>41</v>
      </c>
      <c r="E653" s="9">
        <v>2536</v>
      </c>
      <c r="F653" s="7">
        <v>120</v>
      </c>
      <c r="G653" s="7">
        <v>300</v>
      </c>
      <c r="H653" s="7">
        <v>760800</v>
      </c>
      <c r="I653" s="5">
        <v>106512</v>
      </c>
      <c r="J653" s="5">
        <v>654288</v>
      </c>
      <c r="K653" s="7">
        <v>634000</v>
      </c>
      <c r="L653" s="5">
        <v>20288</v>
      </c>
      <c r="M653" s="1">
        <v>41579</v>
      </c>
      <c r="N653">
        <v>11</v>
      </c>
      <c r="O653" t="s">
        <v>28</v>
      </c>
      <c r="P653" t="s">
        <v>11</v>
      </c>
      <c r="Q653" s="5">
        <f>tbl_financials[[#This Row],[Net_Sales]]</f>
        <v>654288</v>
      </c>
      <c r="R653" s="5">
        <f>ROUND(tbl_financials[[#This Row],[Revenue]]*(0.12+MOD(ROW(),7)/100),2)</f>
        <v>91600.320000000007</v>
      </c>
      <c r="S653" s="7">
        <f t="shared" si="10"/>
        <v>3243</v>
      </c>
      <c r="T653" s="5">
        <f>tbl_financials[[#This Row],[Gross_Profit]]-tbl_financials[[#This Row],[Operating_Expenses]]+tbl_financials[[#This Row],[Other_Income]]</f>
        <v>-68069.320000000007</v>
      </c>
      <c r="U653" s="11">
        <f>IF(tbl_financials[[#This Row],[Revenue]]=0,0,tbl_financials[[#This Row],[Net_Profit]]/tbl_financials[[#This Row],[Revenue]])</f>
        <v>-0.10403571515907369</v>
      </c>
      <c r="V653" s="11" t="str">
        <f>tbl_financials[[#This Row],[Month_Name]] &amp; "_" &amp; tbl_financials[[#This Row],[Year]]</f>
        <v>November_2013</v>
      </c>
      <c r="W653" s="11" t="str">
        <f>tbl_financials[[#This Row],[Month_Name]] &amp; "_" &amp; (tbl_financials[[#This Row],[Year]]-1)</f>
        <v>November_2012</v>
      </c>
      <c r="X65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54" spans="1:24" x14ac:dyDescent="0.3">
      <c r="A654" t="s">
        <v>7</v>
      </c>
      <c r="B654" t="s">
        <v>17</v>
      </c>
      <c r="C654" t="s">
        <v>36</v>
      </c>
      <c r="D654" t="s">
        <v>41</v>
      </c>
      <c r="E654" s="9">
        <v>2903</v>
      </c>
      <c r="F654" s="7">
        <v>250</v>
      </c>
      <c r="G654" s="7">
        <v>7</v>
      </c>
      <c r="H654" s="7">
        <v>20321</v>
      </c>
      <c r="I654" s="5">
        <v>2844.94</v>
      </c>
      <c r="J654" s="5">
        <v>17476.060000000001</v>
      </c>
      <c r="K654" s="7">
        <v>14515</v>
      </c>
      <c r="L654" s="5">
        <v>2961.06</v>
      </c>
      <c r="M654" s="1">
        <v>41699</v>
      </c>
      <c r="N654">
        <v>3</v>
      </c>
      <c r="O654" t="s">
        <v>20</v>
      </c>
      <c r="P654" t="s">
        <v>12</v>
      </c>
      <c r="Q654" s="5">
        <f>tbl_financials[[#This Row],[Net_Sales]]</f>
        <v>17476.060000000001</v>
      </c>
      <c r="R654" s="5">
        <f>ROUND(tbl_financials[[#This Row],[Revenue]]*(0.12+MOD(ROW(),7)/100),2)</f>
        <v>2621.41</v>
      </c>
      <c r="S654" s="7">
        <f t="shared" si="10"/>
        <v>3274</v>
      </c>
      <c r="T654" s="5">
        <f>tbl_financials[[#This Row],[Gross_Profit]]-tbl_financials[[#This Row],[Operating_Expenses]]+tbl_financials[[#This Row],[Other_Income]]</f>
        <v>3613.65</v>
      </c>
      <c r="U654" s="11">
        <f>IF(tbl_financials[[#This Row],[Revenue]]=0,0,tbl_financials[[#This Row],[Net_Profit]]/tbl_financials[[#This Row],[Revenue]])</f>
        <v>0.20677715686487685</v>
      </c>
      <c r="V654" s="11" t="str">
        <f>tbl_financials[[#This Row],[Month_Name]] &amp; "_" &amp; tbl_financials[[#This Row],[Year]]</f>
        <v>March_2014</v>
      </c>
      <c r="W654" s="11" t="str">
        <f>tbl_financials[[#This Row],[Month_Name]] &amp; "_" &amp; (tbl_financials[[#This Row],[Year]]-1)</f>
        <v>March_2013</v>
      </c>
      <c r="X65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55" spans="1:24" x14ac:dyDescent="0.3">
      <c r="A655" t="s">
        <v>4</v>
      </c>
      <c r="B655" t="s">
        <v>14</v>
      </c>
      <c r="C655" t="s">
        <v>36</v>
      </c>
      <c r="D655" t="s">
        <v>41</v>
      </c>
      <c r="E655" s="9">
        <v>2541</v>
      </c>
      <c r="F655" s="7">
        <v>250</v>
      </c>
      <c r="G655" s="7">
        <v>300</v>
      </c>
      <c r="H655" s="7">
        <v>762300</v>
      </c>
      <c r="I655" s="5">
        <v>106722</v>
      </c>
      <c r="J655" s="5">
        <v>655578</v>
      </c>
      <c r="K655" s="7">
        <v>635250</v>
      </c>
      <c r="L655" s="5">
        <v>20328</v>
      </c>
      <c r="M655" s="1">
        <v>41852</v>
      </c>
      <c r="N655">
        <v>8</v>
      </c>
      <c r="O655" t="s">
        <v>25</v>
      </c>
      <c r="P655" t="s">
        <v>12</v>
      </c>
      <c r="Q655" s="5">
        <f>tbl_financials[[#This Row],[Net_Sales]]</f>
        <v>655578</v>
      </c>
      <c r="R655" s="5">
        <f>ROUND(tbl_financials[[#This Row],[Revenue]]*(0.12+MOD(ROW(),7)/100),2)</f>
        <v>104892.48</v>
      </c>
      <c r="S655" s="7">
        <f t="shared" si="10"/>
        <v>3305</v>
      </c>
      <c r="T655" s="5">
        <f>tbl_financials[[#This Row],[Gross_Profit]]-tbl_financials[[#This Row],[Operating_Expenses]]+tbl_financials[[#This Row],[Other_Income]]</f>
        <v>-81259.48</v>
      </c>
      <c r="U655" s="11">
        <f>IF(tbl_financials[[#This Row],[Revenue]]=0,0,tbl_financials[[#This Row],[Net_Profit]]/tbl_financials[[#This Row],[Revenue]])</f>
        <v>-0.12395089524053583</v>
      </c>
      <c r="V655" s="11" t="str">
        <f>tbl_financials[[#This Row],[Month_Name]] &amp; "_" &amp; tbl_financials[[#This Row],[Year]]</f>
        <v>August_2014</v>
      </c>
      <c r="W655" s="11" t="str">
        <f>tbl_financials[[#This Row],[Month_Name]] &amp; "_" &amp; (tbl_financials[[#This Row],[Year]]-1)</f>
        <v>August_2013</v>
      </c>
      <c r="X65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56" spans="1:24" x14ac:dyDescent="0.3">
      <c r="A656" t="s">
        <v>4</v>
      </c>
      <c r="B656" t="s">
        <v>13</v>
      </c>
      <c r="C656" t="s">
        <v>36</v>
      </c>
      <c r="D656" t="s">
        <v>41</v>
      </c>
      <c r="E656" s="9">
        <v>269</v>
      </c>
      <c r="F656" s="7">
        <v>250</v>
      </c>
      <c r="G656" s="7">
        <v>300</v>
      </c>
      <c r="H656" s="7">
        <v>80700</v>
      </c>
      <c r="I656" s="5">
        <v>11298</v>
      </c>
      <c r="J656" s="5">
        <v>69402</v>
      </c>
      <c r="K656" s="7">
        <v>67250</v>
      </c>
      <c r="L656" s="5">
        <v>2152</v>
      </c>
      <c r="M656" s="1">
        <v>41548</v>
      </c>
      <c r="N656">
        <v>10</v>
      </c>
      <c r="O656" t="s">
        <v>27</v>
      </c>
      <c r="P656" t="s">
        <v>11</v>
      </c>
      <c r="Q656" s="5">
        <f>tbl_financials[[#This Row],[Net_Sales]]</f>
        <v>69402</v>
      </c>
      <c r="R656" s="5">
        <f>ROUND(tbl_financials[[#This Row],[Revenue]]*(0.12+MOD(ROW(),7)/100),2)</f>
        <v>11798.34</v>
      </c>
      <c r="S656" s="7">
        <f t="shared" si="10"/>
        <v>3336</v>
      </c>
      <c r="T656" s="5">
        <f>tbl_financials[[#This Row],[Gross_Profit]]-tbl_financials[[#This Row],[Operating_Expenses]]+tbl_financials[[#This Row],[Other_Income]]</f>
        <v>-6310.34</v>
      </c>
      <c r="U656" s="11">
        <f>IF(tbl_financials[[#This Row],[Revenue]]=0,0,tbl_financials[[#This Row],[Net_Profit]]/tbl_financials[[#This Row],[Revenue]])</f>
        <v>-9.0924469035474478E-2</v>
      </c>
      <c r="V656" s="11" t="str">
        <f>tbl_financials[[#This Row],[Month_Name]] &amp; "_" &amp; tbl_financials[[#This Row],[Year]]</f>
        <v>October_2013</v>
      </c>
      <c r="W656" s="11" t="str">
        <f>tbl_financials[[#This Row],[Month_Name]] &amp; "_" &amp; (tbl_financials[[#This Row],[Year]]-1)</f>
        <v>October_2012</v>
      </c>
      <c r="X65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57" spans="1:24" x14ac:dyDescent="0.3">
      <c r="A657" t="s">
        <v>4</v>
      </c>
      <c r="B657" t="s">
        <v>13</v>
      </c>
      <c r="C657" t="s">
        <v>36</v>
      </c>
      <c r="D657" t="s">
        <v>41</v>
      </c>
      <c r="E657" s="9">
        <v>1496</v>
      </c>
      <c r="F657" s="7">
        <v>250</v>
      </c>
      <c r="G657" s="7">
        <v>300</v>
      </c>
      <c r="H657" s="7">
        <v>448800</v>
      </c>
      <c r="I657" s="5">
        <v>62832</v>
      </c>
      <c r="J657" s="5">
        <v>385968</v>
      </c>
      <c r="K657" s="7">
        <v>374000</v>
      </c>
      <c r="L657" s="5">
        <v>11968</v>
      </c>
      <c r="M657" s="1">
        <v>41913</v>
      </c>
      <c r="N657">
        <v>10</v>
      </c>
      <c r="O657" t="s">
        <v>27</v>
      </c>
      <c r="P657" t="s">
        <v>12</v>
      </c>
      <c r="Q657" s="5">
        <f>tbl_financials[[#This Row],[Net_Sales]]</f>
        <v>385968</v>
      </c>
      <c r="R657" s="5">
        <f>ROUND(tbl_financials[[#This Row],[Revenue]]*(0.12+MOD(ROW(),7)/100),2)</f>
        <v>69474.240000000005</v>
      </c>
      <c r="S657" s="7">
        <f t="shared" si="10"/>
        <v>3367</v>
      </c>
      <c r="T657" s="5">
        <f>tbl_financials[[#This Row],[Gross_Profit]]-tbl_financials[[#This Row],[Operating_Expenses]]+tbl_financials[[#This Row],[Other_Income]]</f>
        <v>-54139.240000000005</v>
      </c>
      <c r="U657" s="11">
        <f>IF(tbl_financials[[#This Row],[Revenue]]=0,0,tbl_financials[[#This Row],[Net_Profit]]/tbl_financials[[#This Row],[Revenue]])</f>
        <v>-0.14026872694109357</v>
      </c>
      <c r="V657" s="11" t="str">
        <f>tbl_financials[[#This Row],[Month_Name]] &amp; "_" &amp; tbl_financials[[#This Row],[Year]]</f>
        <v>October_2014</v>
      </c>
      <c r="W657" s="11" t="str">
        <f>tbl_financials[[#This Row],[Month_Name]] &amp; "_" &amp; (tbl_financials[[#This Row],[Year]]-1)</f>
        <v>October_2013</v>
      </c>
      <c r="X65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7.9499826086956524</v>
      </c>
    </row>
    <row r="658" spans="1:24" x14ac:dyDescent="0.3">
      <c r="A658" t="s">
        <v>4</v>
      </c>
      <c r="B658" t="s">
        <v>14</v>
      </c>
      <c r="C658" t="s">
        <v>36</v>
      </c>
      <c r="D658" t="s">
        <v>41</v>
      </c>
      <c r="E658" s="9">
        <v>1010</v>
      </c>
      <c r="F658" s="7">
        <v>250</v>
      </c>
      <c r="G658" s="7">
        <v>300</v>
      </c>
      <c r="H658" s="7">
        <v>303000</v>
      </c>
      <c r="I658" s="5">
        <v>42420</v>
      </c>
      <c r="J658" s="5">
        <v>260580</v>
      </c>
      <c r="K658" s="7">
        <v>252500</v>
      </c>
      <c r="L658" s="5">
        <v>8080</v>
      </c>
      <c r="M658" s="1">
        <v>41913</v>
      </c>
      <c r="N658">
        <v>10</v>
      </c>
      <c r="O658" t="s">
        <v>27</v>
      </c>
      <c r="P658" t="s">
        <v>12</v>
      </c>
      <c r="Q658" s="5">
        <f>tbl_financials[[#This Row],[Net_Sales]]</f>
        <v>260580</v>
      </c>
      <c r="R658" s="5">
        <f>ROUND(tbl_financials[[#This Row],[Revenue]]*(0.12+MOD(ROW(),7)/100),2)</f>
        <v>31269.599999999999</v>
      </c>
      <c r="S658" s="7">
        <f t="shared" si="10"/>
        <v>3398</v>
      </c>
      <c r="T658" s="5">
        <f>tbl_financials[[#This Row],[Gross_Profit]]-tbl_financials[[#This Row],[Operating_Expenses]]+tbl_financials[[#This Row],[Other_Income]]</f>
        <v>-19791.599999999999</v>
      </c>
      <c r="U658" s="11">
        <f>IF(tbl_financials[[#This Row],[Revenue]]=0,0,tbl_financials[[#This Row],[Net_Profit]]/tbl_financials[[#This Row],[Revenue]])</f>
        <v>-7.5952106838590827E-2</v>
      </c>
      <c r="V658" s="11" t="str">
        <f>tbl_financials[[#This Row],[Month_Name]] &amp; "_" &amp; tbl_financials[[#This Row],[Year]]</f>
        <v>October_2014</v>
      </c>
      <c r="W658" s="11" t="str">
        <f>tbl_financials[[#This Row],[Month_Name]] &amp; "_" &amp; (tbl_financials[[#This Row],[Year]]-1)</f>
        <v>October_2013</v>
      </c>
      <c r="X65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5.0424347826086953</v>
      </c>
    </row>
    <row r="659" spans="1:24" x14ac:dyDescent="0.3">
      <c r="A659" t="s">
        <v>7</v>
      </c>
      <c r="B659" t="s">
        <v>15</v>
      </c>
      <c r="C659" t="s">
        <v>36</v>
      </c>
      <c r="D659" t="s">
        <v>41</v>
      </c>
      <c r="E659" s="9">
        <v>1281</v>
      </c>
      <c r="F659" s="7">
        <v>250</v>
      </c>
      <c r="G659" s="7">
        <v>350</v>
      </c>
      <c r="H659" s="7">
        <v>448350</v>
      </c>
      <c r="I659" s="5">
        <v>62769</v>
      </c>
      <c r="J659" s="5">
        <v>385581</v>
      </c>
      <c r="K659" s="7">
        <v>333060</v>
      </c>
      <c r="L659" s="5">
        <v>52521</v>
      </c>
      <c r="M659" s="1">
        <v>41609</v>
      </c>
      <c r="N659">
        <v>12</v>
      </c>
      <c r="O659" t="s">
        <v>29</v>
      </c>
      <c r="P659" t="s">
        <v>11</v>
      </c>
      <c r="Q659" s="5">
        <f>tbl_financials[[#This Row],[Net_Sales]]</f>
        <v>385581</v>
      </c>
      <c r="R659" s="5">
        <f>ROUND(tbl_financials[[#This Row],[Revenue]]*(0.12+MOD(ROW(),7)/100),2)</f>
        <v>50125.53</v>
      </c>
      <c r="S659" s="7">
        <f t="shared" si="10"/>
        <v>3429</v>
      </c>
      <c r="T659" s="5">
        <f>tbl_financials[[#This Row],[Gross_Profit]]-tbl_financials[[#This Row],[Operating_Expenses]]+tbl_financials[[#This Row],[Other_Income]]</f>
        <v>5824.4700000000012</v>
      </c>
      <c r="U659" s="11">
        <f>IF(tbl_financials[[#This Row],[Revenue]]=0,0,tbl_financials[[#This Row],[Net_Profit]]/tbl_financials[[#This Row],[Revenue]])</f>
        <v>1.5105697635516276E-2</v>
      </c>
      <c r="V659" s="11" t="str">
        <f>tbl_financials[[#This Row],[Month_Name]] &amp; "_" &amp; tbl_financials[[#This Row],[Year]]</f>
        <v>December_2013</v>
      </c>
      <c r="W659" s="11" t="str">
        <f>tbl_financials[[#This Row],[Month_Name]] &amp; "_" &amp; (tbl_financials[[#This Row],[Year]]-1)</f>
        <v>December_2012</v>
      </c>
      <c r="X65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60" spans="1:24" x14ac:dyDescent="0.3">
      <c r="A660" t="s">
        <v>4</v>
      </c>
      <c r="B660" t="s">
        <v>13</v>
      </c>
      <c r="C660" t="s">
        <v>37</v>
      </c>
      <c r="D660" t="s">
        <v>41</v>
      </c>
      <c r="E660" s="9">
        <v>888</v>
      </c>
      <c r="F660" s="7">
        <v>260</v>
      </c>
      <c r="G660" s="7">
        <v>300</v>
      </c>
      <c r="H660" s="7">
        <v>266400</v>
      </c>
      <c r="I660" s="5">
        <v>37296</v>
      </c>
      <c r="J660" s="5">
        <v>229104</v>
      </c>
      <c r="K660" s="7">
        <v>222000</v>
      </c>
      <c r="L660" s="5">
        <v>7104</v>
      </c>
      <c r="M660" s="1">
        <v>41699</v>
      </c>
      <c r="N660">
        <v>3</v>
      </c>
      <c r="O660" t="s">
        <v>20</v>
      </c>
      <c r="P660" t="s">
        <v>12</v>
      </c>
      <c r="Q660" s="5">
        <f>tbl_financials[[#This Row],[Net_Sales]]</f>
        <v>229104</v>
      </c>
      <c r="R660" s="5">
        <f>ROUND(tbl_financials[[#This Row],[Revenue]]*(0.12+MOD(ROW(),7)/100),2)</f>
        <v>32074.560000000001</v>
      </c>
      <c r="S660" s="7">
        <f t="shared" si="10"/>
        <v>3460</v>
      </c>
      <c r="T660" s="5">
        <f>tbl_financials[[#This Row],[Gross_Profit]]-tbl_financials[[#This Row],[Operating_Expenses]]+tbl_financials[[#This Row],[Other_Income]]</f>
        <v>-21510.560000000001</v>
      </c>
      <c r="U660" s="11">
        <f>IF(tbl_financials[[#This Row],[Revenue]]=0,0,tbl_financials[[#This Row],[Net_Profit]]/tbl_financials[[#This Row],[Revenue]])</f>
        <v>-9.3889936448075986E-2</v>
      </c>
      <c r="V660" s="11" t="str">
        <f>tbl_financials[[#This Row],[Month_Name]] &amp; "_" &amp; tbl_financials[[#This Row],[Year]]</f>
        <v>March_2014</v>
      </c>
      <c r="W660" s="11" t="str">
        <f>tbl_financials[[#This Row],[Month_Name]] &amp; "_" &amp; (tbl_financials[[#This Row],[Year]]-1)</f>
        <v>March_2013</v>
      </c>
      <c r="X66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61" spans="1:24" x14ac:dyDescent="0.3">
      <c r="A661" t="s">
        <v>6</v>
      </c>
      <c r="B661" t="s">
        <v>14</v>
      </c>
      <c r="C661" t="s">
        <v>37</v>
      </c>
      <c r="D661" t="s">
        <v>41</v>
      </c>
      <c r="E661" s="9">
        <v>2844</v>
      </c>
      <c r="F661" s="7">
        <v>260</v>
      </c>
      <c r="G661" s="7">
        <v>125</v>
      </c>
      <c r="H661" s="7">
        <v>355500</v>
      </c>
      <c r="I661" s="5">
        <v>49770</v>
      </c>
      <c r="J661" s="5">
        <v>305730</v>
      </c>
      <c r="K661" s="7">
        <v>341280</v>
      </c>
      <c r="L661" s="5">
        <v>-35550</v>
      </c>
      <c r="M661" s="1">
        <v>41760</v>
      </c>
      <c r="N661">
        <v>5</v>
      </c>
      <c r="O661" t="s">
        <v>22</v>
      </c>
      <c r="P661" t="s">
        <v>12</v>
      </c>
      <c r="Q661" s="5">
        <f>tbl_financials[[#This Row],[Net_Sales]]</f>
        <v>305730</v>
      </c>
      <c r="R661" s="5">
        <f>ROUND(tbl_financials[[#This Row],[Revenue]]*(0.12+MOD(ROW(),7)/100),2)</f>
        <v>45859.5</v>
      </c>
      <c r="S661" s="7">
        <f t="shared" si="10"/>
        <v>3491</v>
      </c>
      <c r="T661" s="5">
        <f>tbl_financials[[#This Row],[Gross_Profit]]-tbl_financials[[#This Row],[Operating_Expenses]]+tbl_financials[[#This Row],[Other_Income]]</f>
        <v>-77918.5</v>
      </c>
      <c r="U661" s="11">
        <f>IF(tbl_financials[[#This Row],[Revenue]]=0,0,tbl_financials[[#This Row],[Net_Profit]]/tbl_financials[[#This Row],[Revenue]])</f>
        <v>-0.25486049782487818</v>
      </c>
      <c r="V661" s="11" t="str">
        <f>tbl_financials[[#This Row],[Month_Name]] &amp; "_" &amp; tbl_financials[[#This Row],[Year]]</f>
        <v>May_2014</v>
      </c>
      <c r="W661" s="11" t="str">
        <f>tbl_financials[[#This Row],[Month_Name]] &amp; "_" &amp; (tbl_financials[[#This Row],[Year]]-1)</f>
        <v>May_2013</v>
      </c>
      <c r="X66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62" spans="1:24" x14ac:dyDescent="0.3">
      <c r="A662" t="s">
        <v>8</v>
      </c>
      <c r="B662" t="s">
        <v>15</v>
      </c>
      <c r="C662" t="s">
        <v>37</v>
      </c>
      <c r="D662" t="s">
        <v>41</v>
      </c>
      <c r="E662" s="9">
        <v>2475</v>
      </c>
      <c r="F662" s="7">
        <v>260</v>
      </c>
      <c r="G662" s="7">
        <v>12</v>
      </c>
      <c r="H662" s="7">
        <v>29700</v>
      </c>
      <c r="I662" s="5">
        <v>4158</v>
      </c>
      <c r="J662" s="5">
        <v>25542</v>
      </c>
      <c r="K662" s="7">
        <v>7425</v>
      </c>
      <c r="L662" s="5">
        <v>18117</v>
      </c>
      <c r="M662" s="1">
        <v>41852</v>
      </c>
      <c r="N662">
        <v>8</v>
      </c>
      <c r="O662" t="s">
        <v>25</v>
      </c>
      <c r="P662" t="s">
        <v>12</v>
      </c>
      <c r="Q662" s="5">
        <f>tbl_financials[[#This Row],[Net_Sales]]</f>
        <v>25542</v>
      </c>
      <c r="R662" s="5">
        <f>ROUND(tbl_financials[[#This Row],[Revenue]]*(0.12+MOD(ROW(),7)/100),2)</f>
        <v>4086.72</v>
      </c>
      <c r="S662" s="7">
        <f t="shared" si="10"/>
        <v>3522</v>
      </c>
      <c r="T662" s="5">
        <f>tbl_financials[[#This Row],[Gross_Profit]]-tbl_financials[[#This Row],[Operating_Expenses]]+tbl_financials[[#This Row],[Other_Income]]</f>
        <v>17552.28</v>
      </c>
      <c r="U662" s="11">
        <f>IF(tbl_financials[[#This Row],[Revenue]]=0,0,tbl_financials[[#This Row],[Net_Profit]]/tbl_financials[[#This Row],[Revenue]])</f>
        <v>0.68719285882076575</v>
      </c>
      <c r="V662" s="11" t="str">
        <f>tbl_financials[[#This Row],[Month_Name]] &amp; "_" &amp; tbl_financials[[#This Row],[Year]]</f>
        <v>August_2014</v>
      </c>
      <c r="W662" s="11" t="str">
        <f>tbl_financials[[#This Row],[Month_Name]] &amp; "_" &amp; (tbl_financials[[#This Row],[Year]]-1)</f>
        <v>August_2013</v>
      </c>
      <c r="X66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63" spans="1:24" x14ac:dyDescent="0.3">
      <c r="A663" t="s">
        <v>5</v>
      </c>
      <c r="B663" t="s">
        <v>13</v>
      </c>
      <c r="C663" t="s">
        <v>37</v>
      </c>
      <c r="D663" t="s">
        <v>41</v>
      </c>
      <c r="E663" s="9">
        <v>1743</v>
      </c>
      <c r="F663" s="7">
        <v>260</v>
      </c>
      <c r="G663" s="7">
        <v>15</v>
      </c>
      <c r="H663" s="7">
        <v>26145</v>
      </c>
      <c r="I663" s="5">
        <v>3660.3</v>
      </c>
      <c r="J663" s="5">
        <v>22484.7</v>
      </c>
      <c r="K663" s="7">
        <v>17430</v>
      </c>
      <c r="L663" s="5">
        <v>5054.7</v>
      </c>
      <c r="M663" s="1">
        <v>41548</v>
      </c>
      <c r="N663">
        <v>10</v>
      </c>
      <c r="O663" t="s">
        <v>27</v>
      </c>
      <c r="P663" t="s">
        <v>11</v>
      </c>
      <c r="Q663" s="5">
        <f>tbl_financials[[#This Row],[Net_Sales]]</f>
        <v>22484.7</v>
      </c>
      <c r="R663" s="5">
        <f>ROUND(tbl_financials[[#This Row],[Revenue]]*(0.12+MOD(ROW(),7)/100),2)</f>
        <v>3822.4</v>
      </c>
      <c r="S663" s="7">
        <f t="shared" si="10"/>
        <v>3553</v>
      </c>
      <c r="T663" s="5">
        <f>tbl_financials[[#This Row],[Gross_Profit]]-tbl_financials[[#This Row],[Operating_Expenses]]+tbl_financials[[#This Row],[Other_Income]]</f>
        <v>4785.2999999999993</v>
      </c>
      <c r="U663" s="11">
        <f>IF(tbl_financials[[#This Row],[Revenue]]=0,0,tbl_financials[[#This Row],[Net_Profit]]/tbl_financials[[#This Row],[Revenue]])</f>
        <v>0.21282472081015086</v>
      </c>
      <c r="V663" s="11" t="str">
        <f>tbl_financials[[#This Row],[Month_Name]] &amp; "_" &amp; tbl_financials[[#This Row],[Year]]</f>
        <v>October_2013</v>
      </c>
      <c r="W663" s="11" t="str">
        <f>tbl_financials[[#This Row],[Month_Name]] &amp; "_" &amp; (tbl_financials[[#This Row],[Year]]-1)</f>
        <v>October_2012</v>
      </c>
      <c r="X66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64" spans="1:24" x14ac:dyDescent="0.3">
      <c r="A664" t="s">
        <v>8</v>
      </c>
      <c r="B664" t="s">
        <v>14</v>
      </c>
      <c r="C664" t="s">
        <v>37</v>
      </c>
      <c r="D664" t="s">
        <v>41</v>
      </c>
      <c r="E664" s="9">
        <v>2914</v>
      </c>
      <c r="F664" s="7">
        <v>260</v>
      </c>
      <c r="G664" s="7">
        <v>12</v>
      </c>
      <c r="H664" s="7">
        <v>34968</v>
      </c>
      <c r="I664" s="5">
        <v>4895.5200000000004</v>
      </c>
      <c r="J664" s="5">
        <v>30072.48</v>
      </c>
      <c r="K664" s="7">
        <v>8742</v>
      </c>
      <c r="L664" s="5">
        <v>21330.48</v>
      </c>
      <c r="M664" s="1">
        <v>41913</v>
      </c>
      <c r="N664">
        <v>10</v>
      </c>
      <c r="O664" t="s">
        <v>27</v>
      </c>
      <c r="P664" t="s">
        <v>12</v>
      </c>
      <c r="Q664" s="5">
        <f>tbl_financials[[#This Row],[Net_Sales]]</f>
        <v>30072.48</v>
      </c>
      <c r="R664" s="5">
        <f>ROUND(tbl_financials[[#This Row],[Revenue]]*(0.12+MOD(ROW(),7)/100),2)</f>
        <v>5413.05</v>
      </c>
      <c r="S664" s="7">
        <f t="shared" si="10"/>
        <v>3584</v>
      </c>
      <c r="T664" s="5">
        <f>tbl_financials[[#This Row],[Gross_Profit]]-tbl_financials[[#This Row],[Operating_Expenses]]+tbl_financials[[#This Row],[Other_Income]]</f>
        <v>19501.43</v>
      </c>
      <c r="U664" s="11">
        <f>IF(tbl_financials[[#This Row],[Revenue]]=0,0,tbl_financials[[#This Row],[Net_Profit]]/tbl_financials[[#This Row],[Revenue]])</f>
        <v>0.64848093672354257</v>
      </c>
      <c r="V664" s="11" t="str">
        <f>tbl_financials[[#This Row],[Month_Name]] &amp; "_" &amp; tbl_financials[[#This Row],[Year]]</f>
        <v>October_2014</v>
      </c>
      <c r="W664" s="11" t="str">
        <f>tbl_financials[[#This Row],[Month_Name]] &amp; "_" &amp; (tbl_financials[[#This Row],[Year]]-1)</f>
        <v>October_2013</v>
      </c>
      <c r="X66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-0.30266713043478261</v>
      </c>
    </row>
    <row r="665" spans="1:24" x14ac:dyDescent="0.3">
      <c r="A665" t="s">
        <v>7</v>
      </c>
      <c r="B665" t="s">
        <v>15</v>
      </c>
      <c r="C665" t="s">
        <v>37</v>
      </c>
      <c r="D665" t="s">
        <v>41</v>
      </c>
      <c r="E665" s="9">
        <v>1731</v>
      </c>
      <c r="F665" s="7">
        <v>260</v>
      </c>
      <c r="G665" s="7">
        <v>7</v>
      </c>
      <c r="H665" s="7">
        <v>12117</v>
      </c>
      <c r="I665" s="5">
        <v>1696.38</v>
      </c>
      <c r="J665" s="5">
        <v>10420.619999999901</v>
      </c>
      <c r="K665" s="7">
        <v>8655</v>
      </c>
      <c r="L665" s="5">
        <v>1765.6199999999899</v>
      </c>
      <c r="M665" s="1">
        <v>41913</v>
      </c>
      <c r="N665">
        <v>10</v>
      </c>
      <c r="O665" t="s">
        <v>27</v>
      </c>
      <c r="P665" t="s">
        <v>12</v>
      </c>
      <c r="Q665" s="5">
        <f>tbl_financials[[#This Row],[Net_Sales]]</f>
        <v>10420.619999999901</v>
      </c>
      <c r="R665" s="5">
        <f>ROUND(tbl_financials[[#This Row],[Revenue]]*(0.12+MOD(ROW(),7)/100),2)</f>
        <v>1250.47</v>
      </c>
      <c r="S665" s="7">
        <f t="shared" si="10"/>
        <v>3615</v>
      </c>
      <c r="T665" s="5">
        <f>tbl_financials[[#This Row],[Gross_Profit]]-tbl_financials[[#This Row],[Operating_Expenses]]+tbl_financials[[#This Row],[Other_Income]]</f>
        <v>4130.1499999999896</v>
      </c>
      <c r="U665" s="11">
        <f>IF(tbl_financials[[#This Row],[Revenue]]=0,0,tbl_financials[[#This Row],[Net_Profit]]/tbl_financials[[#This Row],[Revenue]])</f>
        <v>0.39634397953289047</v>
      </c>
      <c r="V665" s="11" t="str">
        <f>tbl_financials[[#This Row],[Month_Name]] &amp; "_" &amp; tbl_financials[[#This Row],[Year]]</f>
        <v>October_2014</v>
      </c>
      <c r="W665" s="11" t="str">
        <f>tbl_financials[[#This Row],[Month_Name]] &amp; "_" &amp; (tbl_financials[[#This Row],[Year]]-1)</f>
        <v>October_2013</v>
      </c>
      <c r="X66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-0.75836243478261101</v>
      </c>
    </row>
    <row r="666" spans="1:24" x14ac:dyDescent="0.3">
      <c r="A666" t="s">
        <v>7</v>
      </c>
      <c r="B666" t="s">
        <v>17</v>
      </c>
      <c r="C666" t="s">
        <v>37</v>
      </c>
      <c r="D666" t="s">
        <v>41</v>
      </c>
      <c r="E666" s="9">
        <v>1727</v>
      </c>
      <c r="F666" s="7">
        <v>260</v>
      </c>
      <c r="G666" s="7">
        <v>7</v>
      </c>
      <c r="H666" s="7">
        <v>12089</v>
      </c>
      <c r="I666" s="5">
        <v>1692.46</v>
      </c>
      <c r="J666" s="5">
        <v>10396.540000000001</v>
      </c>
      <c r="K666" s="7">
        <v>8635</v>
      </c>
      <c r="L666" s="5">
        <v>1761.54</v>
      </c>
      <c r="M666" s="1">
        <v>41548</v>
      </c>
      <c r="N666">
        <v>10</v>
      </c>
      <c r="O666" t="s">
        <v>27</v>
      </c>
      <c r="P666" t="s">
        <v>11</v>
      </c>
      <c r="Q666" s="5">
        <f>tbl_financials[[#This Row],[Net_Sales]]</f>
        <v>10396.540000000001</v>
      </c>
      <c r="R666" s="5">
        <f>ROUND(tbl_financials[[#This Row],[Revenue]]*(0.12+MOD(ROW(),7)/100),2)</f>
        <v>1351.55</v>
      </c>
      <c r="S666" s="7">
        <f t="shared" si="10"/>
        <v>3646</v>
      </c>
      <c r="T666" s="5">
        <f>tbl_financials[[#This Row],[Gross_Profit]]-tbl_financials[[#This Row],[Operating_Expenses]]+tbl_financials[[#This Row],[Other_Income]]</f>
        <v>4055.99</v>
      </c>
      <c r="U666" s="11">
        <f>IF(tbl_financials[[#This Row],[Revenue]]=0,0,tbl_financials[[#This Row],[Net_Profit]]/tbl_financials[[#This Row],[Revenue]])</f>
        <v>0.39012883132272846</v>
      </c>
      <c r="V666" s="11" t="str">
        <f>tbl_financials[[#This Row],[Month_Name]] &amp; "_" &amp; tbl_financials[[#This Row],[Year]]</f>
        <v>October_2013</v>
      </c>
      <c r="W666" s="11" t="str">
        <f>tbl_financials[[#This Row],[Month_Name]] &amp; "_" &amp; (tbl_financials[[#This Row],[Year]]-1)</f>
        <v>October_2012</v>
      </c>
      <c r="X66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67" spans="1:24" x14ac:dyDescent="0.3">
      <c r="A667" t="s">
        <v>5</v>
      </c>
      <c r="B667" t="s">
        <v>17</v>
      </c>
      <c r="C667" t="s">
        <v>37</v>
      </c>
      <c r="D667" t="s">
        <v>41</v>
      </c>
      <c r="E667" s="9">
        <v>1870</v>
      </c>
      <c r="F667" s="7">
        <v>260</v>
      </c>
      <c r="G667" s="7">
        <v>15</v>
      </c>
      <c r="H667" s="7">
        <v>28050</v>
      </c>
      <c r="I667" s="5">
        <v>3927</v>
      </c>
      <c r="J667" s="5">
        <v>24123</v>
      </c>
      <c r="K667" s="7">
        <v>18700</v>
      </c>
      <c r="L667" s="5">
        <v>5423</v>
      </c>
      <c r="M667" s="1">
        <v>41579</v>
      </c>
      <c r="N667">
        <v>11</v>
      </c>
      <c r="O667" t="s">
        <v>28</v>
      </c>
      <c r="P667" t="s">
        <v>11</v>
      </c>
      <c r="Q667" s="5">
        <f>tbl_financials[[#This Row],[Net_Sales]]</f>
        <v>24123</v>
      </c>
      <c r="R667" s="5">
        <f>ROUND(tbl_financials[[#This Row],[Revenue]]*(0.12+MOD(ROW(),7)/100),2)</f>
        <v>3377.22</v>
      </c>
      <c r="S667" s="7">
        <f t="shared" si="10"/>
        <v>3677</v>
      </c>
      <c r="T667" s="5">
        <f>tbl_financials[[#This Row],[Gross_Profit]]-tbl_financials[[#This Row],[Operating_Expenses]]+tbl_financials[[#This Row],[Other_Income]]</f>
        <v>5722.7800000000007</v>
      </c>
      <c r="U667" s="11">
        <f>IF(tbl_financials[[#This Row],[Revenue]]=0,0,tbl_financials[[#This Row],[Net_Profit]]/tbl_financials[[#This Row],[Revenue]])</f>
        <v>0.23723334576959751</v>
      </c>
      <c r="V667" s="11" t="str">
        <f>tbl_financials[[#This Row],[Month_Name]] &amp; "_" &amp; tbl_financials[[#This Row],[Year]]</f>
        <v>November_2013</v>
      </c>
      <c r="W667" s="11" t="str">
        <f>tbl_financials[[#This Row],[Month_Name]] &amp; "_" &amp; (tbl_financials[[#This Row],[Year]]-1)</f>
        <v>November_2012</v>
      </c>
      <c r="X66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68" spans="1:24" x14ac:dyDescent="0.3">
      <c r="A668" t="s">
        <v>6</v>
      </c>
      <c r="B668" t="s">
        <v>15</v>
      </c>
      <c r="C668" t="s">
        <v>32</v>
      </c>
      <c r="D668" t="s">
        <v>41</v>
      </c>
      <c r="E668" s="9">
        <v>1174</v>
      </c>
      <c r="F668" s="7">
        <v>3</v>
      </c>
      <c r="G668" s="7">
        <v>125</v>
      </c>
      <c r="H668" s="7">
        <v>146750</v>
      </c>
      <c r="I668" s="5">
        <v>22012.5</v>
      </c>
      <c r="J668" s="5">
        <v>124737.5</v>
      </c>
      <c r="K668" s="7">
        <v>140880</v>
      </c>
      <c r="L668" s="5">
        <v>-16142.5</v>
      </c>
      <c r="M668" s="1">
        <v>41852</v>
      </c>
      <c r="N668">
        <v>8</v>
      </c>
      <c r="O668" t="s">
        <v>25</v>
      </c>
      <c r="P668" t="s">
        <v>12</v>
      </c>
      <c r="Q668" s="5">
        <f>tbl_financials[[#This Row],[Net_Sales]]</f>
        <v>124737.5</v>
      </c>
      <c r="R668" s="5">
        <f>ROUND(tbl_financials[[#This Row],[Revenue]]*(0.12+MOD(ROW(),7)/100),2)</f>
        <v>18710.63</v>
      </c>
      <c r="S668" s="7">
        <f t="shared" si="10"/>
        <v>3708</v>
      </c>
      <c r="T668" s="5">
        <f>tbl_financials[[#This Row],[Gross_Profit]]-tbl_financials[[#This Row],[Operating_Expenses]]+tbl_financials[[#This Row],[Other_Income]]</f>
        <v>-31145.130000000005</v>
      </c>
      <c r="U668" s="11">
        <f>IF(tbl_financials[[#This Row],[Revenue]]=0,0,tbl_financials[[#This Row],[Net_Profit]]/tbl_financials[[#This Row],[Revenue]])</f>
        <v>-0.24968537929652274</v>
      </c>
      <c r="V668" s="11" t="str">
        <f>tbl_financials[[#This Row],[Month_Name]] &amp; "_" &amp; tbl_financials[[#This Row],[Year]]</f>
        <v>August_2014</v>
      </c>
      <c r="W668" s="11" t="str">
        <f>tbl_financials[[#This Row],[Month_Name]] &amp; "_" &amp; (tbl_financials[[#This Row],[Year]]-1)</f>
        <v>August_2013</v>
      </c>
      <c r="X66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69" spans="1:24" x14ac:dyDescent="0.3">
      <c r="A669" t="s">
        <v>6</v>
      </c>
      <c r="B669" t="s">
        <v>16</v>
      </c>
      <c r="C669" t="s">
        <v>32</v>
      </c>
      <c r="D669" t="s">
        <v>41</v>
      </c>
      <c r="E669" s="9">
        <v>2767</v>
      </c>
      <c r="F669" s="7">
        <v>3</v>
      </c>
      <c r="G669" s="7">
        <v>125</v>
      </c>
      <c r="H669" s="7">
        <v>345875</v>
      </c>
      <c r="I669" s="5">
        <v>51881.25</v>
      </c>
      <c r="J669" s="5">
        <v>293993.75</v>
      </c>
      <c r="K669" s="7">
        <v>332040</v>
      </c>
      <c r="L669" s="5">
        <v>-38046.25</v>
      </c>
      <c r="M669" s="1">
        <v>41852</v>
      </c>
      <c r="N669">
        <v>8</v>
      </c>
      <c r="O669" t="s">
        <v>25</v>
      </c>
      <c r="P669" t="s">
        <v>12</v>
      </c>
      <c r="Q669" s="5">
        <f>tbl_financials[[#This Row],[Net_Sales]]</f>
        <v>293993.75</v>
      </c>
      <c r="R669" s="5">
        <f>ROUND(tbl_financials[[#This Row],[Revenue]]*(0.12+MOD(ROW(),7)/100),2)</f>
        <v>47039</v>
      </c>
      <c r="S669" s="7">
        <f t="shared" si="10"/>
        <v>3739</v>
      </c>
      <c r="T669" s="5">
        <f>tbl_financials[[#This Row],[Gross_Profit]]-tbl_financials[[#This Row],[Operating_Expenses]]+tbl_financials[[#This Row],[Other_Income]]</f>
        <v>-81346.25</v>
      </c>
      <c r="U669" s="11">
        <f>IF(tbl_financials[[#This Row],[Revenue]]=0,0,tbl_financials[[#This Row],[Net_Profit]]/tbl_financials[[#This Row],[Revenue]])</f>
        <v>-0.27669380726631093</v>
      </c>
      <c r="V669" s="11" t="str">
        <f>tbl_financials[[#This Row],[Month_Name]] &amp; "_" &amp; tbl_financials[[#This Row],[Year]]</f>
        <v>August_2014</v>
      </c>
      <c r="W669" s="11" t="str">
        <f>tbl_financials[[#This Row],[Month_Name]] &amp; "_" &amp; (tbl_financials[[#This Row],[Year]]-1)</f>
        <v>August_2013</v>
      </c>
      <c r="X66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70" spans="1:24" x14ac:dyDescent="0.3">
      <c r="A670" t="s">
        <v>6</v>
      </c>
      <c r="B670" t="s">
        <v>16</v>
      </c>
      <c r="C670" t="s">
        <v>32</v>
      </c>
      <c r="D670" t="s">
        <v>41</v>
      </c>
      <c r="E670" s="9">
        <v>1085</v>
      </c>
      <c r="F670" s="7">
        <v>3</v>
      </c>
      <c r="G670" s="7">
        <v>125</v>
      </c>
      <c r="H670" s="7">
        <v>135625</v>
      </c>
      <c r="I670" s="5">
        <v>20343.75</v>
      </c>
      <c r="J670" s="5">
        <v>115281.25</v>
      </c>
      <c r="K670" s="7">
        <v>130200</v>
      </c>
      <c r="L670" s="5">
        <v>-14918.75</v>
      </c>
      <c r="M670" s="1">
        <v>41913</v>
      </c>
      <c r="N670">
        <v>10</v>
      </c>
      <c r="O670" t="s">
        <v>27</v>
      </c>
      <c r="P670" t="s">
        <v>12</v>
      </c>
      <c r="Q670" s="5">
        <f>tbl_financials[[#This Row],[Net_Sales]]</f>
        <v>115281.25</v>
      </c>
      <c r="R670" s="5">
        <f>ROUND(tbl_financials[[#This Row],[Revenue]]*(0.12+MOD(ROW(),7)/100),2)</f>
        <v>19597.810000000001</v>
      </c>
      <c r="S670" s="7">
        <f t="shared" si="10"/>
        <v>3770</v>
      </c>
      <c r="T670" s="5">
        <f>tbl_financials[[#This Row],[Gross_Profit]]-tbl_financials[[#This Row],[Operating_Expenses]]+tbl_financials[[#This Row],[Other_Income]]</f>
        <v>-30746.559999999998</v>
      </c>
      <c r="U670" s="11">
        <f>IF(tbl_financials[[#This Row],[Revenue]]=0,0,tbl_financials[[#This Row],[Net_Profit]]/tbl_financials[[#This Row],[Revenue]])</f>
        <v>-0.2667091135809162</v>
      </c>
      <c r="V670" s="11" t="str">
        <f>tbl_financials[[#This Row],[Month_Name]] &amp; "_" &amp; tbl_financials[[#This Row],[Year]]</f>
        <v>October_2014</v>
      </c>
      <c r="W670" s="11" t="str">
        <f>tbl_financials[[#This Row],[Month_Name]] &amp; "_" &amp; (tbl_financials[[#This Row],[Year]]-1)</f>
        <v>October_2013</v>
      </c>
      <c r="X67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1.6731884057971014</v>
      </c>
    </row>
    <row r="671" spans="1:24" x14ac:dyDescent="0.3">
      <c r="A671" t="s">
        <v>4</v>
      </c>
      <c r="B671" t="s">
        <v>17</v>
      </c>
      <c r="C671" t="s">
        <v>33</v>
      </c>
      <c r="D671" t="s">
        <v>41</v>
      </c>
      <c r="E671" s="9">
        <v>546</v>
      </c>
      <c r="F671" s="7">
        <v>5</v>
      </c>
      <c r="G671" s="7">
        <v>300</v>
      </c>
      <c r="H671" s="7">
        <v>163800</v>
      </c>
      <c r="I671" s="5">
        <v>24570</v>
      </c>
      <c r="J671" s="5">
        <v>139230</v>
      </c>
      <c r="K671" s="7">
        <v>136500</v>
      </c>
      <c r="L671" s="5">
        <v>2730</v>
      </c>
      <c r="M671" s="1">
        <v>41913</v>
      </c>
      <c r="N671">
        <v>10</v>
      </c>
      <c r="O671" t="s">
        <v>27</v>
      </c>
      <c r="P671" t="s">
        <v>12</v>
      </c>
      <c r="Q671" s="5">
        <f>tbl_financials[[#This Row],[Net_Sales]]</f>
        <v>139230</v>
      </c>
      <c r="R671" s="5">
        <f>ROUND(tbl_financials[[#This Row],[Revenue]]*(0.12+MOD(ROW(),7)/100),2)</f>
        <v>25061.4</v>
      </c>
      <c r="S671" s="7">
        <f t="shared" si="10"/>
        <v>3801</v>
      </c>
      <c r="T671" s="5">
        <f>tbl_financials[[#This Row],[Gross_Profit]]-tbl_financials[[#This Row],[Operating_Expenses]]+tbl_financials[[#This Row],[Other_Income]]</f>
        <v>-18530.400000000001</v>
      </c>
      <c r="U671" s="11">
        <f>IF(tbl_financials[[#This Row],[Revenue]]=0,0,tbl_financials[[#This Row],[Net_Profit]]/tbl_financials[[#This Row],[Revenue]])</f>
        <v>-0.13309200603318252</v>
      </c>
      <c r="V671" s="11" t="str">
        <f>tbl_financials[[#This Row],[Month_Name]] &amp; "_" &amp; tbl_financials[[#This Row],[Year]]</f>
        <v>October_2014</v>
      </c>
      <c r="W671" s="11" t="str">
        <f>tbl_financials[[#This Row],[Month_Name]] &amp; "_" &amp; (tbl_financials[[#This Row],[Year]]-1)</f>
        <v>October_2013</v>
      </c>
      <c r="X67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2.2285217391304348</v>
      </c>
    </row>
    <row r="672" spans="1:24" x14ac:dyDescent="0.3">
      <c r="A672" t="s">
        <v>7</v>
      </c>
      <c r="B672" t="s">
        <v>16</v>
      </c>
      <c r="C672" t="s">
        <v>34</v>
      </c>
      <c r="D672" t="s">
        <v>41</v>
      </c>
      <c r="E672" s="9">
        <v>1158</v>
      </c>
      <c r="F672" s="7">
        <v>10</v>
      </c>
      <c r="G672" s="7">
        <v>20</v>
      </c>
      <c r="H672" s="7">
        <v>23160</v>
      </c>
      <c r="I672" s="5">
        <v>3474</v>
      </c>
      <c r="J672" s="5">
        <v>19686</v>
      </c>
      <c r="K672" s="7">
        <v>11580</v>
      </c>
      <c r="L672" s="5">
        <v>8106</v>
      </c>
      <c r="M672" s="1">
        <v>41699</v>
      </c>
      <c r="N672">
        <v>3</v>
      </c>
      <c r="O672" t="s">
        <v>20</v>
      </c>
      <c r="P672" t="s">
        <v>12</v>
      </c>
      <c r="Q672" s="5">
        <f>tbl_financials[[#This Row],[Net_Sales]]</f>
        <v>19686</v>
      </c>
      <c r="R672" s="5">
        <f>ROUND(tbl_financials[[#This Row],[Revenue]]*(0.12+MOD(ROW(),7)/100),2)</f>
        <v>2362.3200000000002</v>
      </c>
      <c r="S672" s="7">
        <f t="shared" si="10"/>
        <v>3832</v>
      </c>
      <c r="T672" s="5">
        <f>tbl_financials[[#This Row],[Gross_Profit]]-tbl_financials[[#This Row],[Operating_Expenses]]+tbl_financials[[#This Row],[Other_Income]]</f>
        <v>9575.68</v>
      </c>
      <c r="U672" s="11">
        <f>IF(tbl_financials[[#This Row],[Revenue]]=0,0,tbl_financials[[#This Row],[Net_Profit]]/tbl_financials[[#This Row],[Revenue]])</f>
        <v>0.48642080666463478</v>
      </c>
      <c r="V672" s="11" t="str">
        <f>tbl_financials[[#This Row],[Month_Name]] &amp; "_" &amp; tbl_financials[[#This Row],[Year]]</f>
        <v>March_2014</v>
      </c>
      <c r="W672" s="11" t="str">
        <f>tbl_financials[[#This Row],[Month_Name]] &amp; "_" &amp; (tbl_financials[[#This Row],[Year]]-1)</f>
        <v>March_2013</v>
      </c>
      <c r="X67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73" spans="1:24" x14ac:dyDescent="0.3">
      <c r="A673" t="s">
        <v>5</v>
      </c>
      <c r="B673" t="s">
        <v>13</v>
      </c>
      <c r="C673" t="s">
        <v>34</v>
      </c>
      <c r="D673" t="s">
        <v>41</v>
      </c>
      <c r="E673" s="9">
        <v>1614</v>
      </c>
      <c r="F673" s="7">
        <v>10</v>
      </c>
      <c r="G673" s="7">
        <v>15</v>
      </c>
      <c r="H673" s="7">
        <v>24210</v>
      </c>
      <c r="I673" s="5">
        <v>3631.5</v>
      </c>
      <c r="J673" s="5">
        <v>20578.5</v>
      </c>
      <c r="K673" s="7">
        <v>16140</v>
      </c>
      <c r="L673" s="5">
        <v>4438.5</v>
      </c>
      <c r="M673" s="1">
        <v>41730</v>
      </c>
      <c r="N673">
        <v>4</v>
      </c>
      <c r="O673" t="s">
        <v>21</v>
      </c>
      <c r="P673" t="s">
        <v>12</v>
      </c>
      <c r="Q673" s="5">
        <f>tbl_financials[[#This Row],[Net_Sales]]</f>
        <v>20578.5</v>
      </c>
      <c r="R673" s="5">
        <f>ROUND(tbl_financials[[#This Row],[Revenue]]*(0.12+MOD(ROW(),7)/100),2)</f>
        <v>2675.21</v>
      </c>
      <c r="S673" s="7">
        <f t="shared" si="10"/>
        <v>3863</v>
      </c>
      <c r="T673" s="5">
        <f>tbl_financials[[#This Row],[Gross_Profit]]-tbl_financials[[#This Row],[Operating_Expenses]]+tbl_financials[[#This Row],[Other_Income]]</f>
        <v>5626.29</v>
      </c>
      <c r="U673" s="11">
        <f>IF(tbl_financials[[#This Row],[Revenue]]=0,0,tbl_financials[[#This Row],[Net_Profit]]/tbl_financials[[#This Row],[Revenue]])</f>
        <v>0.27340622494350902</v>
      </c>
      <c r="V673" s="11" t="str">
        <f>tbl_financials[[#This Row],[Month_Name]] &amp; "_" &amp; tbl_financials[[#This Row],[Year]]</f>
        <v>April_2014</v>
      </c>
      <c r="W673" s="11" t="str">
        <f>tbl_financials[[#This Row],[Month_Name]] &amp; "_" &amp; (tbl_financials[[#This Row],[Year]]-1)</f>
        <v>April_2013</v>
      </c>
      <c r="X67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74" spans="1:24" x14ac:dyDescent="0.3">
      <c r="A674" t="s">
        <v>7</v>
      </c>
      <c r="B674" t="s">
        <v>17</v>
      </c>
      <c r="C674" t="s">
        <v>34</v>
      </c>
      <c r="D674" t="s">
        <v>41</v>
      </c>
      <c r="E674" s="9">
        <v>2535</v>
      </c>
      <c r="F674" s="7">
        <v>10</v>
      </c>
      <c r="G674" s="7">
        <v>7</v>
      </c>
      <c r="H674" s="7">
        <v>17745</v>
      </c>
      <c r="I674" s="5">
        <v>2661.75</v>
      </c>
      <c r="J674" s="5">
        <v>15083.25</v>
      </c>
      <c r="K674" s="7">
        <v>12675</v>
      </c>
      <c r="L674" s="5">
        <v>2408.25</v>
      </c>
      <c r="M674" s="1">
        <v>41730</v>
      </c>
      <c r="N674">
        <v>4</v>
      </c>
      <c r="O674" t="s">
        <v>21</v>
      </c>
      <c r="P674" t="s">
        <v>12</v>
      </c>
      <c r="Q674" s="5">
        <f>tbl_financials[[#This Row],[Net_Sales]]</f>
        <v>15083.25</v>
      </c>
      <c r="R674" s="5">
        <f>ROUND(tbl_financials[[#This Row],[Revenue]]*(0.12+MOD(ROW(),7)/100),2)</f>
        <v>2111.66</v>
      </c>
      <c r="S674" s="7">
        <f t="shared" si="10"/>
        <v>3894</v>
      </c>
      <c r="T674" s="5">
        <f>tbl_financials[[#This Row],[Gross_Profit]]-tbl_financials[[#This Row],[Operating_Expenses]]+tbl_financials[[#This Row],[Other_Income]]</f>
        <v>4190.59</v>
      </c>
      <c r="U674" s="11">
        <f>IF(tbl_financials[[#This Row],[Revenue]]=0,0,tbl_financials[[#This Row],[Net_Profit]]/tbl_financials[[#This Row],[Revenue]])</f>
        <v>0.27783070624699585</v>
      </c>
      <c r="V674" s="11" t="str">
        <f>tbl_financials[[#This Row],[Month_Name]] &amp; "_" &amp; tbl_financials[[#This Row],[Year]]</f>
        <v>April_2014</v>
      </c>
      <c r="W674" s="11" t="str">
        <f>tbl_financials[[#This Row],[Month_Name]] &amp; "_" &amp; (tbl_financials[[#This Row],[Year]]-1)</f>
        <v>April_2013</v>
      </c>
      <c r="X67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75" spans="1:24" x14ac:dyDescent="0.3">
      <c r="A675" t="s">
        <v>7</v>
      </c>
      <c r="B675" t="s">
        <v>17</v>
      </c>
      <c r="C675" t="s">
        <v>34</v>
      </c>
      <c r="D675" t="s">
        <v>41</v>
      </c>
      <c r="E675" s="9">
        <v>2851</v>
      </c>
      <c r="F675" s="7">
        <v>10</v>
      </c>
      <c r="G675" s="7">
        <v>350</v>
      </c>
      <c r="H675" s="7">
        <v>997850</v>
      </c>
      <c r="I675" s="5">
        <v>149677.5</v>
      </c>
      <c r="J675" s="5">
        <v>848172.5</v>
      </c>
      <c r="K675" s="7">
        <v>741260</v>
      </c>
      <c r="L675" s="5">
        <v>106912.5</v>
      </c>
      <c r="M675" s="1">
        <v>41760</v>
      </c>
      <c r="N675">
        <v>5</v>
      </c>
      <c r="O675" t="s">
        <v>22</v>
      </c>
      <c r="P675" t="s">
        <v>12</v>
      </c>
      <c r="Q675" s="5">
        <f>tbl_financials[[#This Row],[Net_Sales]]</f>
        <v>848172.5</v>
      </c>
      <c r="R675" s="5">
        <f>ROUND(tbl_financials[[#This Row],[Revenue]]*(0.12+MOD(ROW(),7)/100),2)</f>
        <v>127225.88</v>
      </c>
      <c r="S675" s="7">
        <f t="shared" si="10"/>
        <v>3925</v>
      </c>
      <c r="T675" s="5">
        <f>tbl_financials[[#This Row],[Gross_Profit]]-tbl_financials[[#This Row],[Operating_Expenses]]+tbl_financials[[#This Row],[Other_Income]]</f>
        <v>-16388.380000000005</v>
      </c>
      <c r="U675" s="11">
        <f>IF(tbl_financials[[#This Row],[Revenue]]=0,0,tbl_financials[[#This Row],[Net_Profit]]/tbl_financials[[#This Row],[Revenue]])</f>
        <v>-1.9321989335895712E-2</v>
      </c>
      <c r="V675" s="11" t="str">
        <f>tbl_financials[[#This Row],[Month_Name]] &amp; "_" &amp; tbl_financials[[#This Row],[Year]]</f>
        <v>May_2014</v>
      </c>
      <c r="W675" s="11" t="str">
        <f>tbl_financials[[#This Row],[Month_Name]] &amp; "_" &amp; (tbl_financials[[#This Row],[Year]]-1)</f>
        <v>May_2013</v>
      </c>
      <c r="X67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76" spans="1:24" x14ac:dyDescent="0.3">
      <c r="A676" t="s">
        <v>5</v>
      </c>
      <c r="B676" t="s">
        <v>13</v>
      </c>
      <c r="C676" t="s">
        <v>34</v>
      </c>
      <c r="D676" t="s">
        <v>41</v>
      </c>
      <c r="E676" s="9">
        <v>2559</v>
      </c>
      <c r="F676" s="7">
        <v>10</v>
      </c>
      <c r="G676" s="7">
        <v>15</v>
      </c>
      <c r="H676" s="7">
        <v>38385</v>
      </c>
      <c r="I676" s="5">
        <v>5757.75</v>
      </c>
      <c r="J676" s="5">
        <v>32627.25</v>
      </c>
      <c r="K676" s="7">
        <v>25590</v>
      </c>
      <c r="L676" s="5">
        <v>7037.25</v>
      </c>
      <c r="M676" s="1">
        <v>41852</v>
      </c>
      <c r="N676">
        <v>8</v>
      </c>
      <c r="O676" t="s">
        <v>25</v>
      </c>
      <c r="P676" t="s">
        <v>12</v>
      </c>
      <c r="Q676" s="5">
        <f>tbl_financials[[#This Row],[Net_Sales]]</f>
        <v>32627.25</v>
      </c>
      <c r="R676" s="5">
        <f>ROUND(tbl_financials[[#This Row],[Revenue]]*(0.12+MOD(ROW(),7)/100),2)</f>
        <v>5220.3599999999997</v>
      </c>
      <c r="S676" s="7">
        <f t="shared" si="10"/>
        <v>3956</v>
      </c>
      <c r="T676" s="5">
        <f>tbl_financials[[#This Row],[Gross_Profit]]-tbl_financials[[#This Row],[Operating_Expenses]]+tbl_financials[[#This Row],[Other_Income]]</f>
        <v>5772.89</v>
      </c>
      <c r="U676" s="11">
        <f>IF(tbl_financials[[#This Row],[Revenue]]=0,0,tbl_financials[[#This Row],[Net_Profit]]/tbl_financials[[#This Row],[Revenue]])</f>
        <v>0.17693461753595538</v>
      </c>
      <c r="V676" s="11" t="str">
        <f>tbl_financials[[#This Row],[Month_Name]] &amp; "_" &amp; tbl_financials[[#This Row],[Year]]</f>
        <v>August_2014</v>
      </c>
      <c r="W676" s="11" t="str">
        <f>tbl_financials[[#This Row],[Month_Name]] &amp; "_" &amp; (tbl_financials[[#This Row],[Year]]-1)</f>
        <v>August_2013</v>
      </c>
      <c r="X67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77" spans="1:24" x14ac:dyDescent="0.3">
      <c r="A677" t="s">
        <v>7</v>
      </c>
      <c r="B677" t="s">
        <v>14</v>
      </c>
      <c r="C677" t="s">
        <v>34</v>
      </c>
      <c r="D677" t="s">
        <v>41</v>
      </c>
      <c r="E677" s="9">
        <v>267</v>
      </c>
      <c r="F677" s="7">
        <v>10</v>
      </c>
      <c r="G677" s="7">
        <v>20</v>
      </c>
      <c r="H677" s="7">
        <v>5340</v>
      </c>
      <c r="I677" s="5">
        <v>801</v>
      </c>
      <c r="J677" s="5">
        <v>4539</v>
      </c>
      <c r="K677" s="7">
        <v>2670</v>
      </c>
      <c r="L677" s="5">
        <v>1869</v>
      </c>
      <c r="M677" s="1">
        <v>41548</v>
      </c>
      <c r="N677">
        <v>10</v>
      </c>
      <c r="O677" t="s">
        <v>27</v>
      </c>
      <c r="P677" t="s">
        <v>11</v>
      </c>
      <c r="Q677" s="5">
        <f>tbl_financials[[#This Row],[Net_Sales]]</f>
        <v>4539</v>
      </c>
      <c r="R677" s="5">
        <f>ROUND(tbl_financials[[#This Row],[Revenue]]*(0.12+MOD(ROW(),7)/100),2)</f>
        <v>771.63</v>
      </c>
      <c r="S677" s="7">
        <f t="shared" si="10"/>
        <v>3987</v>
      </c>
      <c r="T677" s="5">
        <f>tbl_financials[[#This Row],[Gross_Profit]]-tbl_financials[[#This Row],[Operating_Expenses]]+tbl_financials[[#This Row],[Other_Income]]</f>
        <v>5084.37</v>
      </c>
      <c r="U677" s="11">
        <f>IF(tbl_financials[[#This Row],[Revenue]]=0,0,tbl_financials[[#This Row],[Net_Profit]]/tbl_financials[[#This Row],[Revenue]])</f>
        <v>1.1201520158625247</v>
      </c>
      <c r="V677" s="11" t="str">
        <f>tbl_financials[[#This Row],[Month_Name]] &amp; "_" &amp; tbl_financials[[#This Row],[Year]]</f>
        <v>October_2013</v>
      </c>
      <c r="W677" s="11" t="str">
        <f>tbl_financials[[#This Row],[Month_Name]] &amp; "_" &amp; (tbl_financials[[#This Row],[Year]]-1)</f>
        <v>October_2012</v>
      </c>
      <c r="X67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78" spans="1:24" x14ac:dyDescent="0.3">
      <c r="A678" t="s">
        <v>6</v>
      </c>
      <c r="B678" t="s">
        <v>16</v>
      </c>
      <c r="C678" t="s">
        <v>34</v>
      </c>
      <c r="D678" t="s">
        <v>41</v>
      </c>
      <c r="E678" s="9">
        <v>1085</v>
      </c>
      <c r="F678" s="7">
        <v>10</v>
      </c>
      <c r="G678" s="7">
        <v>125</v>
      </c>
      <c r="H678" s="7">
        <v>135625</v>
      </c>
      <c r="I678" s="5">
        <v>20343.75</v>
      </c>
      <c r="J678" s="5">
        <v>115281.25</v>
      </c>
      <c r="K678" s="7">
        <v>130200</v>
      </c>
      <c r="L678" s="5">
        <v>-14918.75</v>
      </c>
      <c r="M678" s="1">
        <v>41913</v>
      </c>
      <c r="N678">
        <v>10</v>
      </c>
      <c r="O678" t="s">
        <v>27</v>
      </c>
      <c r="P678" t="s">
        <v>12</v>
      </c>
      <c r="Q678" s="5">
        <f>tbl_financials[[#This Row],[Net_Sales]]</f>
        <v>115281.25</v>
      </c>
      <c r="R678" s="5">
        <f>ROUND(tbl_financials[[#This Row],[Revenue]]*(0.12+MOD(ROW(),7)/100),2)</f>
        <v>20750.63</v>
      </c>
      <c r="S678" s="7">
        <f t="shared" si="10"/>
        <v>4018</v>
      </c>
      <c r="T678" s="5">
        <f>tbl_financials[[#This Row],[Gross_Profit]]-tbl_financials[[#This Row],[Operating_Expenses]]+tbl_financials[[#This Row],[Other_Income]]</f>
        <v>-31651.380000000005</v>
      </c>
      <c r="U678" s="11">
        <f>IF(tbl_financials[[#This Row],[Revenue]]=0,0,tbl_financials[[#This Row],[Net_Profit]]/tbl_financials[[#This Row],[Revenue]])</f>
        <v>-0.27455791813499597</v>
      </c>
      <c r="V678" s="11" t="str">
        <f>tbl_financials[[#This Row],[Month_Name]] &amp; "_" &amp; tbl_financials[[#This Row],[Year]]</f>
        <v>October_2014</v>
      </c>
      <c r="W678" s="11" t="str">
        <f>tbl_financials[[#This Row],[Month_Name]] &amp; "_" &amp; (tbl_financials[[#This Row],[Year]]-1)</f>
        <v>October_2013</v>
      </c>
      <c r="X67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1.6731884057971014</v>
      </c>
    </row>
    <row r="679" spans="1:24" x14ac:dyDescent="0.3">
      <c r="A679" t="s">
        <v>5</v>
      </c>
      <c r="B679" t="s">
        <v>16</v>
      </c>
      <c r="C679" t="s">
        <v>34</v>
      </c>
      <c r="D679" t="s">
        <v>41</v>
      </c>
      <c r="E679" s="9">
        <v>1175</v>
      </c>
      <c r="F679" s="7">
        <v>10</v>
      </c>
      <c r="G679" s="7">
        <v>15</v>
      </c>
      <c r="H679" s="7">
        <v>17625</v>
      </c>
      <c r="I679" s="5">
        <v>2643.75</v>
      </c>
      <c r="J679" s="5">
        <v>14981.25</v>
      </c>
      <c r="K679" s="7">
        <v>11750</v>
      </c>
      <c r="L679" s="5">
        <v>3231.25</v>
      </c>
      <c r="M679" s="1">
        <v>41913</v>
      </c>
      <c r="N679">
        <v>10</v>
      </c>
      <c r="O679" t="s">
        <v>27</v>
      </c>
      <c r="P679" t="s">
        <v>12</v>
      </c>
      <c r="Q679" s="5">
        <f>tbl_financials[[#This Row],[Net_Sales]]</f>
        <v>14981.25</v>
      </c>
      <c r="R679" s="5">
        <f>ROUND(tbl_financials[[#This Row],[Revenue]]*(0.12+MOD(ROW(),7)/100),2)</f>
        <v>1797.75</v>
      </c>
      <c r="S679" s="7">
        <f t="shared" si="10"/>
        <v>4049</v>
      </c>
      <c r="T679" s="5">
        <f>tbl_financials[[#This Row],[Gross_Profit]]-tbl_financials[[#This Row],[Operating_Expenses]]+tbl_financials[[#This Row],[Other_Income]]</f>
        <v>5482.5</v>
      </c>
      <c r="U679" s="11">
        <f>IF(tbl_financials[[#This Row],[Revenue]]=0,0,tbl_financials[[#This Row],[Net_Profit]]/tbl_financials[[#This Row],[Revenue]])</f>
        <v>0.36595744680851061</v>
      </c>
      <c r="V679" s="11" t="str">
        <f>tbl_financials[[#This Row],[Month_Name]] &amp; "_" &amp; tbl_financials[[#This Row],[Year]]</f>
        <v>October_2014</v>
      </c>
      <c r="W679" s="11" t="str">
        <f>tbl_financials[[#This Row],[Month_Name]] &amp; "_" &amp; (tbl_financials[[#This Row],[Year]]-1)</f>
        <v>October_2013</v>
      </c>
      <c r="X67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-0.65260869565217394</v>
      </c>
    </row>
    <row r="680" spans="1:24" x14ac:dyDescent="0.3">
      <c r="A680" t="s">
        <v>7</v>
      </c>
      <c r="B680" t="s">
        <v>14</v>
      </c>
      <c r="C680" t="s">
        <v>34</v>
      </c>
      <c r="D680" t="s">
        <v>41</v>
      </c>
      <c r="E680" s="9">
        <v>2007</v>
      </c>
      <c r="F680" s="7">
        <v>10</v>
      </c>
      <c r="G680" s="7">
        <v>350</v>
      </c>
      <c r="H680" s="7">
        <v>702450</v>
      </c>
      <c r="I680" s="5">
        <v>105367.5</v>
      </c>
      <c r="J680" s="5">
        <v>597082.5</v>
      </c>
      <c r="K680" s="7">
        <v>521820</v>
      </c>
      <c r="L680" s="5">
        <v>75262.5</v>
      </c>
      <c r="M680" s="1">
        <v>41579</v>
      </c>
      <c r="N680">
        <v>11</v>
      </c>
      <c r="O680" t="s">
        <v>28</v>
      </c>
      <c r="P680" t="s">
        <v>11</v>
      </c>
      <c r="Q680" s="5">
        <f>tbl_financials[[#This Row],[Net_Sales]]</f>
        <v>597082.5</v>
      </c>
      <c r="R680" s="5">
        <f>ROUND(tbl_financials[[#This Row],[Revenue]]*(0.12+MOD(ROW(),7)/100),2)</f>
        <v>77620.73</v>
      </c>
      <c r="S680" s="7">
        <f t="shared" si="10"/>
        <v>4080</v>
      </c>
      <c r="T680" s="5">
        <f>tbl_financials[[#This Row],[Gross_Profit]]-tbl_financials[[#This Row],[Operating_Expenses]]+tbl_financials[[#This Row],[Other_Income]]</f>
        <v>1721.7700000000041</v>
      </c>
      <c r="U680" s="11">
        <f>IF(tbl_financials[[#This Row],[Revenue]]=0,0,tbl_financials[[#This Row],[Net_Profit]]/tbl_financials[[#This Row],[Revenue]])</f>
        <v>2.8836383581833398E-3</v>
      </c>
      <c r="V680" s="11" t="str">
        <f>tbl_financials[[#This Row],[Month_Name]] &amp; "_" &amp; tbl_financials[[#This Row],[Year]]</f>
        <v>November_2013</v>
      </c>
      <c r="W680" s="11" t="str">
        <f>tbl_financials[[#This Row],[Month_Name]] &amp; "_" &amp; (tbl_financials[[#This Row],[Year]]-1)</f>
        <v>November_2012</v>
      </c>
      <c r="X68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81" spans="1:24" x14ac:dyDescent="0.3">
      <c r="A681" t="s">
        <v>7</v>
      </c>
      <c r="B681" t="s">
        <v>17</v>
      </c>
      <c r="C681" t="s">
        <v>34</v>
      </c>
      <c r="D681" t="s">
        <v>41</v>
      </c>
      <c r="E681" s="9">
        <v>2151</v>
      </c>
      <c r="F681" s="7">
        <v>10</v>
      </c>
      <c r="G681" s="7">
        <v>350</v>
      </c>
      <c r="H681" s="7">
        <v>752850</v>
      </c>
      <c r="I681" s="5">
        <v>112927.5</v>
      </c>
      <c r="J681" s="5">
        <v>639922.5</v>
      </c>
      <c r="K681" s="7">
        <v>559260</v>
      </c>
      <c r="L681" s="5">
        <v>80662.5</v>
      </c>
      <c r="M681" s="1">
        <v>41579</v>
      </c>
      <c r="N681">
        <v>11</v>
      </c>
      <c r="O681" t="s">
        <v>28</v>
      </c>
      <c r="P681" t="s">
        <v>11</v>
      </c>
      <c r="Q681" s="5">
        <f>tbl_financials[[#This Row],[Net_Sales]]</f>
        <v>639922.5</v>
      </c>
      <c r="R681" s="5">
        <f>ROUND(tbl_financials[[#This Row],[Revenue]]*(0.12+MOD(ROW(),7)/100),2)</f>
        <v>89589.15</v>
      </c>
      <c r="S681" s="7">
        <f t="shared" si="10"/>
        <v>4111</v>
      </c>
      <c r="T681" s="5">
        <f>tbl_financials[[#This Row],[Gross_Profit]]-tbl_financials[[#This Row],[Operating_Expenses]]+tbl_financials[[#This Row],[Other_Income]]</f>
        <v>-4815.6499999999942</v>
      </c>
      <c r="U681" s="11">
        <f>IF(tbl_financials[[#This Row],[Revenue]]=0,0,tbl_financials[[#This Row],[Net_Profit]]/tbl_financials[[#This Row],[Revenue]])</f>
        <v>-7.5253643995952541E-3</v>
      </c>
      <c r="V681" s="11" t="str">
        <f>tbl_financials[[#This Row],[Month_Name]] &amp; "_" &amp; tbl_financials[[#This Row],[Year]]</f>
        <v>November_2013</v>
      </c>
      <c r="W681" s="11" t="str">
        <f>tbl_financials[[#This Row],[Month_Name]] &amp; "_" &amp; (tbl_financials[[#This Row],[Year]]-1)</f>
        <v>November_2012</v>
      </c>
      <c r="X68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82" spans="1:24" x14ac:dyDescent="0.3">
      <c r="A682" t="s">
        <v>8</v>
      </c>
      <c r="B682" t="s">
        <v>14</v>
      </c>
      <c r="C682" t="s">
        <v>34</v>
      </c>
      <c r="D682" t="s">
        <v>41</v>
      </c>
      <c r="E682" s="9">
        <v>914</v>
      </c>
      <c r="F682" s="7">
        <v>10</v>
      </c>
      <c r="G682" s="7">
        <v>12</v>
      </c>
      <c r="H682" s="7">
        <v>10968</v>
      </c>
      <c r="I682" s="5">
        <v>1645.2</v>
      </c>
      <c r="J682" s="5">
        <v>9322.7999999999993</v>
      </c>
      <c r="K682" s="7">
        <v>2742</v>
      </c>
      <c r="L682" s="5">
        <v>6580.7999999999902</v>
      </c>
      <c r="M682" s="1">
        <v>41974</v>
      </c>
      <c r="N682">
        <v>12</v>
      </c>
      <c r="O682" t="s">
        <v>29</v>
      </c>
      <c r="P682" t="s">
        <v>12</v>
      </c>
      <c r="Q682" s="5">
        <f>tbl_financials[[#This Row],[Net_Sales]]</f>
        <v>9322.7999999999993</v>
      </c>
      <c r="R682" s="5">
        <f>ROUND(tbl_financials[[#This Row],[Revenue]]*(0.12+MOD(ROW(),7)/100),2)</f>
        <v>1398.42</v>
      </c>
      <c r="S682" s="7">
        <f t="shared" si="10"/>
        <v>4142</v>
      </c>
      <c r="T682" s="5">
        <f>tbl_financials[[#This Row],[Gross_Profit]]-tbl_financials[[#This Row],[Operating_Expenses]]+tbl_financials[[#This Row],[Other_Income]]</f>
        <v>9324.3799999999901</v>
      </c>
      <c r="U682" s="11">
        <f>IF(tbl_financials[[#This Row],[Revenue]]=0,0,tbl_financials[[#This Row],[Net_Profit]]/tbl_financials[[#This Row],[Revenue]])</f>
        <v>1.0001694769811635</v>
      </c>
      <c r="V682" s="11" t="str">
        <f>tbl_financials[[#This Row],[Month_Name]] &amp; "_" &amp; tbl_financials[[#This Row],[Year]]</f>
        <v>December_2014</v>
      </c>
      <c r="W682" s="11" t="str">
        <f>tbl_financials[[#This Row],[Month_Name]] &amp; "_" &amp; (tbl_financials[[#This Row],[Year]]-1)</f>
        <v>December_2013</v>
      </c>
      <c r="X68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-0.7111895910780669</v>
      </c>
    </row>
    <row r="683" spans="1:24" x14ac:dyDescent="0.3">
      <c r="A683" t="s">
        <v>7</v>
      </c>
      <c r="B683" t="s">
        <v>15</v>
      </c>
      <c r="C683" t="s">
        <v>34</v>
      </c>
      <c r="D683" t="s">
        <v>41</v>
      </c>
      <c r="E683" s="9">
        <v>293</v>
      </c>
      <c r="F683" s="7">
        <v>10</v>
      </c>
      <c r="G683" s="7">
        <v>20</v>
      </c>
      <c r="H683" s="7">
        <v>5860</v>
      </c>
      <c r="I683" s="5">
        <v>879</v>
      </c>
      <c r="J683" s="5">
        <v>4981</v>
      </c>
      <c r="K683" s="7">
        <v>2930</v>
      </c>
      <c r="L683" s="5">
        <v>2051</v>
      </c>
      <c r="M683" s="1">
        <v>41974</v>
      </c>
      <c r="N683">
        <v>12</v>
      </c>
      <c r="O683" t="s">
        <v>29</v>
      </c>
      <c r="P683" t="s">
        <v>12</v>
      </c>
      <c r="Q683" s="5">
        <f>tbl_financials[[#This Row],[Net_Sales]]</f>
        <v>4981</v>
      </c>
      <c r="R683" s="5">
        <f>ROUND(tbl_financials[[#This Row],[Revenue]]*(0.12+MOD(ROW(),7)/100),2)</f>
        <v>796.96</v>
      </c>
      <c r="S683" s="7">
        <f t="shared" si="10"/>
        <v>4173</v>
      </c>
      <c r="T683" s="5">
        <f>tbl_financials[[#This Row],[Gross_Profit]]-tbl_financials[[#This Row],[Operating_Expenses]]+tbl_financials[[#This Row],[Other_Income]]</f>
        <v>5427.04</v>
      </c>
      <c r="U683" s="11">
        <f>IF(tbl_financials[[#This Row],[Revenue]]=0,0,tbl_financials[[#This Row],[Net_Profit]]/tbl_financials[[#This Row],[Revenue]])</f>
        <v>1.0895482834772134</v>
      </c>
      <c r="V683" s="11" t="str">
        <f>tbl_financials[[#This Row],[Month_Name]] &amp; "_" &amp; tbl_financials[[#This Row],[Year]]</f>
        <v>December_2014</v>
      </c>
      <c r="W683" s="11" t="str">
        <f>tbl_financials[[#This Row],[Month_Name]] &amp; "_" &amp; (tbl_financials[[#This Row],[Year]]-1)</f>
        <v>December_2013</v>
      </c>
      <c r="X68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-0.84569392812887234</v>
      </c>
    </row>
    <row r="684" spans="1:24" x14ac:dyDescent="0.3">
      <c r="A684" t="s">
        <v>8</v>
      </c>
      <c r="B684" t="s">
        <v>17</v>
      </c>
      <c r="C684" t="s">
        <v>35</v>
      </c>
      <c r="D684" t="s">
        <v>41</v>
      </c>
      <c r="E684" s="9">
        <v>500</v>
      </c>
      <c r="F684" s="7">
        <v>120</v>
      </c>
      <c r="G684" s="7">
        <v>12</v>
      </c>
      <c r="H684" s="7">
        <v>6000</v>
      </c>
      <c r="I684" s="5">
        <v>900</v>
      </c>
      <c r="J684" s="5">
        <v>5100</v>
      </c>
      <c r="K684" s="7">
        <v>1500</v>
      </c>
      <c r="L684" s="5">
        <v>3600</v>
      </c>
      <c r="M684" s="1">
        <v>41699</v>
      </c>
      <c r="N684">
        <v>3</v>
      </c>
      <c r="O684" t="s">
        <v>20</v>
      </c>
      <c r="P684" t="s">
        <v>12</v>
      </c>
      <c r="Q684" s="5">
        <f>tbl_financials[[#This Row],[Net_Sales]]</f>
        <v>5100</v>
      </c>
      <c r="R684" s="5">
        <f>ROUND(tbl_financials[[#This Row],[Revenue]]*(0.12+MOD(ROW(),7)/100),2)</f>
        <v>867</v>
      </c>
      <c r="S684" s="7">
        <f t="shared" si="10"/>
        <v>4204</v>
      </c>
      <c r="T684" s="5">
        <f>tbl_financials[[#This Row],[Gross_Profit]]-tbl_financials[[#This Row],[Operating_Expenses]]+tbl_financials[[#This Row],[Other_Income]]</f>
        <v>6937</v>
      </c>
      <c r="U684" s="11">
        <f>IF(tbl_financials[[#This Row],[Revenue]]=0,0,tbl_financials[[#This Row],[Net_Profit]]/tbl_financials[[#This Row],[Revenue]])</f>
        <v>1.3601960784313725</v>
      </c>
      <c r="V684" s="11" t="str">
        <f>tbl_financials[[#This Row],[Month_Name]] &amp; "_" &amp; tbl_financials[[#This Row],[Year]]</f>
        <v>March_2014</v>
      </c>
      <c r="W684" s="11" t="str">
        <f>tbl_financials[[#This Row],[Month_Name]] &amp; "_" &amp; (tbl_financials[[#This Row],[Year]]-1)</f>
        <v>March_2013</v>
      </c>
      <c r="X68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85" spans="1:24" x14ac:dyDescent="0.3">
      <c r="A685" t="s">
        <v>5</v>
      </c>
      <c r="B685" t="s">
        <v>15</v>
      </c>
      <c r="C685" t="s">
        <v>35</v>
      </c>
      <c r="D685" t="s">
        <v>41</v>
      </c>
      <c r="E685" s="9">
        <v>2826</v>
      </c>
      <c r="F685" s="7">
        <v>120</v>
      </c>
      <c r="G685" s="7">
        <v>15</v>
      </c>
      <c r="H685" s="7">
        <v>42390</v>
      </c>
      <c r="I685" s="5">
        <v>6358.5</v>
      </c>
      <c r="J685" s="5">
        <v>36031.5</v>
      </c>
      <c r="K685" s="7">
        <v>28260</v>
      </c>
      <c r="L685" s="5">
        <v>7771.5</v>
      </c>
      <c r="M685" s="1">
        <v>41760</v>
      </c>
      <c r="N685">
        <v>5</v>
      </c>
      <c r="O685" t="s">
        <v>22</v>
      </c>
      <c r="P685" t="s">
        <v>12</v>
      </c>
      <c r="Q685" s="5">
        <f>tbl_financials[[#This Row],[Net_Sales]]</f>
        <v>36031.5</v>
      </c>
      <c r="R685" s="5">
        <f>ROUND(tbl_financials[[#This Row],[Revenue]]*(0.12+MOD(ROW(),7)/100),2)</f>
        <v>6485.67</v>
      </c>
      <c r="S685" s="7">
        <f t="shared" si="10"/>
        <v>4235</v>
      </c>
      <c r="T685" s="5">
        <f>tbl_financials[[#This Row],[Gross_Profit]]-tbl_financials[[#This Row],[Operating_Expenses]]+tbl_financials[[#This Row],[Other_Income]]</f>
        <v>5520.83</v>
      </c>
      <c r="U685" s="11">
        <f>IF(tbl_financials[[#This Row],[Revenue]]=0,0,tbl_financials[[#This Row],[Net_Profit]]/tbl_financials[[#This Row],[Revenue]])</f>
        <v>0.15322231935944935</v>
      </c>
      <c r="V685" s="11" t="str">
        <f>tbl_financials[[#This Row],[Month_Name]] &amp; "_" &amp; tbl_financials[[#This Row],[Year]]</f>
        <v>May_2014</v>
      </c>
      <c r="W685" s="11" t="str">
        <f>tbl_financials[[#This Row],[Month_Name]] &amp; "_" &amp; (tbl_financials[[#This Row],[Year]]-1)</f>
        <v>May_2013</v>
      </c>
      <c r="X68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86" spans="1:24" x14ac:dyDescent="0.3">
      <c r="A686" t="s">
        <v>6</v>
      </c>
      <c r="B686" t="s">
        <v>15</v>
      </c>
      <c r="C686" t="s">
        <v>35</v>
      </c>
      <c r="D686" t="s">
        <v>41</v>
      </c>
      <c r="E686" s="9">
        <v>663</v>
      </c>
      <c r="F686" s="7">
        <v>120</v>
      </c>
      <c r="G686" s="7">
        <v>125</v>
      </c>
      <c r="H686" s="7">
        <v>82875</v>
      </c>
      <c r="I686" s="5">
        <v>12431.25</v>
      </c>
      <c r="J686" s="5">
        <v>70443.75</v>
      </c>
      <c r="K686" s="7">
        <v>79560</v>
      </c>
      <c r="L686" s="5">
        <v>-9116.25</v>
      </c>
      <c r="M686" s="1">
        <v>41883</v>
      </c>
      <c r="N686">
        <v>9</v>
      </c>
      <c r="O686" t="s">
        <v>26</v>
      </c>
      <c r="P686" t="s">
        <v>12</v>
      </c>
      <c r="Q686" s="5">
        <f>tbl_financials[[#This Row],[Net_Sales]]</f>
        <v>70443.75</v>
      </c>
      <c r="R686" s="5">
        <f>ROUND(tbl_financials[[#This Row],[Revenue]]*(0.12+MOD(ROW(),7)/100),2)</f>
        <v>8453.25</v>
      </c>
      <c r="S686" s="7">
        <f t="shared" si="10"/>
        <v>4266</v>
      </c>
      <c r="T686" s="5">
        <f>tbl_financials[[#This Row],[Gross_Profit]]-tbl_financials[[#This Row],[Operating_Expenses]]+tbl_financials[[#This Row],[Other_Income]]</f>
        <v>-13303.5</v>
      </c>
      <c r="U686" s="11">
        <f>IF(tbl_financials[[#This Row],[Revenue]]=0,0,tbl_financials[[#This Row],[Net_Profit]]/tbl_financials[[#This Row],[Revenue]])</f>
        <v>-0.18885280809156241</v>
      </c>
      <c r="V686" s="11" t="str">
        <f>tbl_financials[[#This Row],[Month_Name]] &amp; "_" &amp; tbl_financials[[#This Row],[Year]]</f>
        <v>September_2014</v>
      </c>
      <c r="W686" s="11" t="str">
        <f>tbl_financials[[#This Row],[Month_Name]] &amp; "_" &amp; (tbl_financials[[#This Row],[Year]]-1)</f>
        <v>September_2013</v>
      </c>
      <c r="X68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7.5541894353369763</v>
      </c>
    </row>
    <row r="687" spans="1:24" x14ac:dyDescent="0.3">
      <c r="A687" t="s">
        <v>4</v>
      </c>
      <c r="B687" t="s">
        <v>14</v>
      </c>
      <c r="C687" t="s">
        <v>35</v>
      </c>
      <c r="D687" t="s">
        <v>41</v>
      </c>
      <c r="E687" s="9">
        <v>2574</v>
      </c>
      <c r="F687" s="7">
        <v>120</v>
      </c>
      <c r="G687" s="7">
        <v>300</v>
      </c>
      <c r="H687" s="7">
        <v>772200</v>
      </c>
      <c r="I687" s="5">
        <v>115830</v>
      </c>
      <c r="J687" s="5">
        <v>656370</v>
      </c>
      <c r="K687" s="7">
        <v>643500</v>
      </c>
      <c r="L687" s="5">
        <v>12870</v>
      </c>
      <c r="M687" s="1">
        <v>41579</v>
      </c>
      <c r="N687">
        <v>11</v>
      </c>
      <c r="O687" t="s">
        <v>28</v>
      </c>
      <c r="P687" t="s">
        <v>11</v>
      </c>
      <c r="Q687" s="5">
        <f>tbl_financials[[#This Row],[Net_Sales]]</f>
        <v>656370</v>
      </c>
      <c r="R687" s="5">
        <f>ROUND(tbl_financials[[#This Row],[Revenue]]*(0.12+MOD(ROW(),7)/100),2)</f>
        <v>85328.1</v>
      </c>
      <c r="S687" s="7">
        <f t="shared" si="10"/>
        <v>4297</v>
      </c>
      <c r="T687" s="5">
        <f>tbl_financials[[#This Row],[Gross_Profit]]-tbl_financials[[#This Row],[Operating_Expenses]]+tbl_financials[[#This Row],[Other_Income]]</f>
        <v>-68161.100000000006</v>
      </c>
      <c r="U687" s="11">
        <f>IF(tbl_financials[[#This Row],[Revenue]]=0,0,tbl_financials[[#This Row],[Net_Profit]]/tbl_financials[[#This Row],[Revenue]])</f>
        <v>-0.10384554443377973</v>
      </c>
      <c r="V687" s="11" t="str">
        <f>tbl_financials[[#This Row],[Month_Name]] &amp; "_" &amp; tbl_financials[[#This Row],[Year]]</f>
        <v>November_2013</v>
      </c>
      <c r="W687" s="11" t="str">
        <f>tbl_financials[[#This Row],[Month_Name]] &amp; "_" &amp; (tbl_financials[[#This Row],[Year]]-1)</f>
        <v>November_2012</v>
      </c>
      <c r="X68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88" spans="1:24" x14ac:dyDescent="0.3">
      <c r="A688" t="s">
        <v>6</v>
      </c>
      <c r="B688" t="s">
        <v>14</v>
      </c>
      <c r="C688" t="s">
        <v>35</v>
      </c>
      <c r="D688" t="s">
        <v>41</v>
      </c>
      <c r="E688" s="9">
        <v>2438</v>
      </c>
      <c r="F688" s="7">
        <v>120</v>
      </c>
      <c r="G688" s="7">
        <v>125</v>
      </c>
      <c r="H688" s="7">
        <v>304750</v>
      </c>
      <c r="I688" s="5">
        <v>45712.5</v>
      </c>
      <c r="J688" s="5">
        <v>259037.5</v>
      </c>
      <c r="K688" s="7">
        <v>292560</v>
      </c>
      <c r="L688" s="5">
        <v>-33522.5</v>
      </c>
      <c r="M688" s="1">
        <v>41609</v>
      </c>
      <c r="N688">
        <v>12</v>
      </c>
      <c r="O688" t="s">
        <v>29</v>
      </c>
      <c r="P688" t="s">
        <v>11</v>
      </c>
      <c r="Q688" s="5">
        <f>tbl_financials[[#This Row],[Net_Sales]]</f>
        <v>259037.5</v>
      </c>
      <c r="R688" s="5">
        <f>ROUND(tbl_financials[[#This Row],[Revenue]]*(0.12+MOD(ROW(),7)/100),2)</f>
        <v>36265.25</v>
      </c>
      <c r="S688" s="7">
        <f t="shared" si="10"/>
        <v>4328</v>
      </c>
      <c r="T688" s="5">
        <f>tbl_financials[[#This Row],[Gross_Profit]]-tbl_financials[[#This Row],[Operating_Expenses]]+tbl_financials[[#This Row],[Other_Income]]</f>
        <v>-65459.75</v>
      </c>
      <c r="U688" s="11">
        <f>IF(tbl_financials[[#This Row],[Revenue]]=0,0,tbl_financials[[#This Row],[Net_Profit]]/tbl_financials[[#This Row],[Revenue]])</f>
        <v>-0.25270375910823722</v>
      </c>
      <c r="V688" s="11" t="str">
        <f>tbl_financials[[#This Row],[Month_Name]] &amp; "_" &amp; tbl_financials[[#This Row],[Year]]</f>
        <v>December_2013</v>
      </c>
      <c r="W688" s="11" t="str">
        <f>tbl_financials[[#This Row],[Month_Name]] &amp; "_" &amp; (tbl_financials[[#This Row],[Year]]-1)</f>
        <v>December_2012</v>
      </c>
      <c r="X68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89" spans="1:24" x14ac:dyDescent="0.3">
      <c r="A689" t="s">
        <v>8</v>
      </c>
      <c r="B689" t="s">
        <v>14</v>
      </c>
      <c r="C689" t="s">
        <v>35</v>
      </c>
      <c r="D689" t="s">
        <v>41</v>
      </c>
      <c r="E689" s="9">
        <v>914</v>
      </c>
      <c r="F689" s="7">
        <v>120</v>
      </c>
      <c r="G689" s="7">
        <v>12</v>
      </c>
      <c r="H689" s="7">
        <v>10968</v>
      </c>
      <c r="I689" s="5">
        <v>1645.2</v>
      </c>
      <c r="J689" s="5">
        <v>9322.7999999999993</v>
      </c>
      <c r="K689" s="7">
        <v>2742</v>
      </c>
      <c r="L689" s="5">
        <v>6580.7999999999902</v>
      </c>
      <c r="M689" s="1">
        <v>41974</v>
      </c>
      <c r="N689">
        <v>12</v>
      </c>
      <c r="O689" t="s">
        <v>29</v>
      </c>
      <c r="P689" t="s">
        <v>12</v>
      </c>
      <c r="Q689" s="5">
        <f>tbl_financials[[#This Row],[Net_Sales]]</f>
        <v>9322.7999999999993</v>
      </c>
      <c r="R689" s="5">
        <f>ROUND(tbl_financials[[#This Row],[Revenue]]*(0.12+MOD(ROW(),7)/100),2)</f>
        <v>1398.42</v>
      </c>
      <c r="S689" s="7">
        <f t="shared" si="10"/>
        <v>4359</v>
      </c>
      <c r="T689" s="5">
        <f>tbl_financials[[#This Row],[Gross_Profit]]-tbl_financials[[#This Row],[Operating_Expenses]]+tbl_financials[[#This Row],[Other_Income]]</f>
        <v>9541.3799999999901</v>
      </c>
      <c r="U689" s="11">
        <f>IF(tbl_financials[[#This Row],[Revenue]]=0,0,tbl_financials[[#This Row],[Net_Profit]]/tbl_financials[[#This Row],[Revenue]])</f>
        <v>1.023445745913244</v>
      </c>
      <c r="V689" s="11" t="str">
        <f>tbl_financials[[#This Row],[Month_Name]] &amp; "_" &amp; tbl_financials[[#This Row],[Year]]</f>
        <v>December_2014</v>
      </c>
      <c r="W689" s="11" t="str">
        <f>tbl_financials[[#This Row],[Month_Name]] &amp; "_" &amp; (tbl_financials[[#This Row],[Year]]-1)</f>
        <v>December_2013</v>
      </c>
      <c r="X68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-0.7111895910780669</v>
      </c>
    </row>
    <row r="690" spans="1:24" x14ac:dyDescent="0.3">
      <c r="A690" t="s">
        <v>7</v>
      </c>
      <c r="B690" t="s">
        <v>13</v>
      </c>
      <c r="C690" t="s">
        <v>36</v>
      </c>
      <c r="D690" t="s">
        <v>41</v>
      </c>
      <c r="E690" s="9">
        <v>865.5</v>
      </c>
      <c r="F690" s="7">
        <v>250</v>
      </c>
      <c r="G690" s="7">
        <v>20</v>
      </c>
      <c r="H690" s="7">
        <v>17310</v>
      </c>
      <c r="I690" s="5">
        <v>2596.5</v>
      </c>
      <c r="J690" s="5">
        <v>14713.5</v>
      </c>
      <c r="K690" s="7">
        <v>8655</v>
      </c>
      <c r="L690" s="5">
        <v>6058.5</v>
      </c>
      <c r="M690" s="1">
        <v>41821</v>
      </c>
      <c r="N690">
        <v>7</v>
      </c>
      <c r="O690" t="s">
        <v>24</v>
      </c>
      <c r="P690" t="s">
        <v>12</v>
      </c>
      <c r="Q690" s="5">
        <f>tbl_financials[[#This Row],[Net_Sales]]</f>
        <v>14713.5</v>
      </c>
      <c r="R690" s="5">
        <f>ROUND(tbl_financials[[#This Row],[Revenue]]*(0.12+MOD(ROW(),7)/100),2)</f>
        <v>2354.16</v>
      </c>
      <c r="S690" s="7">
        <f t="shared" si="10"/>
        <v>4390</v>
      </c>
      <c r="T690" s="5">
        <f>tbl_financials[[#This Row],[Gross_Profit]]-tbl_financials[[#This Row],[Operating_Expenses]]+tbl_financials[[#This Row],[Other_Income]]</f>
        <v>8094.34</v>
      </c>
      <c r="U690" s="11">
        <f>IF(tbl_financials[[#This Row],[Revenue]]=0,0,tbl_financials[[#This Row],[Net_Profit]]/tbl_financials[[#This Row],[Revenue]])</f>
        <v>0.55013015258096309</v>
      </c>
      <c r="V690" s="11" t="str">
        <f>tbl_financials[[#This Row],[Month_Name]] &amp; "_" &amp; tbl_financials[[#This Row],[Year]]</f>
        <v>July_2014</v>
      </c>
      <c r="W690" s="11" t="str">
        <f>tbl_financials[[#This Row],[Month_Name]] &amp; "_" &amp; (tbl_financials[[#This Row],[Year]]-1)</f>
        <v>July_2013</v>
      </c>
      <c r="X69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91" spans="1:24" x14ac:dyDescent="0.3">
      <c r="A691" t="s">
        <v>5</v>
      </c>
      <c r="B691" t="s">
        <v>16</v>
      </c>
      <c r="C691" t="s">
        <v>36</v>
      </c>
      <c r="D691" t="s">
        <v>41</v>
      </c>
      <c r="E691" s="9">
        <v>492</v>
      </c>
      <c r="F691" s="7">
        <v>250</v>
      </c>
      <c r="G691" s="7">
        <v>15</v>
      </c>
      <c r="H691" s="7">
        <v>7380</v>
      </c>
      <c r="I691" s="5">
        <v>1107</v>
      </c>
      <c r="J691" s="5">
        <v>6273</v>
      </c>
      <c r="K691" s="7">
        <v>4920</v>
      </c>
      <c r="L691" s="5">
        <v>1353</v>
      </c>
      <c r="M691" s="1">
        <v>41821</v>
      </c>
      <c r="N691">
        <v>7</v>
      </c>
      <c r="O691" t="s">
        <v>24</v>
      </c>
      <c r="P691" t="s">
        <v>12</v>
      </c>
      <c r="Q691" s="5">
        <f>tbl_financials[[#This Row],[Net_Sales]]</f>
        <v>6273</v>
      </c>
      <c r="R691" s="5">
        <f>ROUND(tbl_financials[[#This Row],[Revenue]]*(0.12+MOD(ROW(),7)/100),2)</f>
        <v>1066.4100000000001</v>
      </c>
      <c r="S691" s="7">
        <f t="shared" si="10"/>
        <v>4421</v>
      </c>
      <c r="T691" s="5">
        <f>tbl_financials[[#This Row],[Gross_Profit]]-tbl_financials[[#This Row],[Operating_Expenses]]+tbl_financials[[#This Row],[Other_Income]]</f>
        <v>4707.59</v>
      </c>
      <c r="U691" s="11">
        <f>IF(tbl_financials[[#This Row],[Revenue]]=0,0,tbl_financials[[#This Row],[Net_Profit]]/tbl_financials[[#This Row],[Revenue]])</f>
        <v>0.75045273393910417</v>
      </c>
      <c r="V691" s="11" t="str">
        <f>tbl_financials[[#This Row],[Month_Name]] &amp; "_" &amp; tbl_financials[[#This Row],[Year]]</f>
        <v>July_2014</v>
      </c>
      <c r="W691" s="11" t="str">
        <f>tbl_financials[[#This Row],[Month_Name]] &amp; "_" &amp; (tbl_financials[[#This Row],[Year]]-1)</f>
        <v>July_2013</v>
      </c>
      <c r="X69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92" spans="1:24" x14ac:dyDescent="0.3">
      <c r="A692" t="s">
        <v>7</v>
      </c>
      <c r="B692" t="s">
        <v>14</v>
      </c>
      <c r="C692" t="s">
        <v>36</v>
      </c>
      <c r="D692" t="s">
        <v>41</v>
      </c>
      <c r="E692" s="9">
        <v>267</v>
      </c>
      <c r="F692" s="7">
        <v>250</v>
      </c>
      <c r="G692" s="7">
        <v>20</v>
      </c>
      <c r="H692" s="7">
        <v>5340</v>
      </c>
      <c r="I692" s="5">
        <v>801</v>
      </c>
      <c r="J692" s="5">
        <v>4539</v>
      </c>
      <c r="K692" s="7">
        <v>2670</v>
      </c>
      <c r="L692" s="5">
        <v>1869</v>
      </c>
      <c r="M692" s="1">
        <v>41548</v>
      </c>
      <c r="N692">
        <v>10</v>
      </c>
      <c r="O692" t="s">
        <v>27</v>
      </c>
      <c r="P692" t="s">
        <v>11</v>
      </c>
      <c r="Q692" s="5">
        <f>tbl_financials[[#This Row],[Net_Sales]]</f>
        <v>4539</v>
      </c>
      <c r="R692" s="5">
        <f>ROUND(tbl_financials[[#This Row],[Revenue]]*(0.12+MOD(ROW(),7)/100),2)</f>
        <v>817.02</v>
      </c>
      <c r="S692" s="7">
        <f t="shared" si="10"/>
        <v>4452</v>
      </c>
      <c r="T692" s="5">
        <f>tbl_financials[[#This Row],[Gross_Profit]]-tbl_financials[[#This Row],[Operating_Expenses]]+tbl_financials[[#This Row],[Other_Income]]</f>
        <v>5503.98</v>
      </c>
      <c r="U692" s="11">
        <f>IF(tbl_financials[[#This Row],[Revenue]]=0,0,tbl_financials[[#This Row],[Net_Profit]]/tbl_financials[[#This Row],[Revenue]])</f>
        <v>1.2125974884335755</v>
      </c>
      <c r="V692" s="11" t="str">
        <f>tbl_financials[[#This Row],[Month_Name]] &amp; "_" &amp; tbl_financials[[#This Row],[Year]]</f>
        <v>October_2013</v>
      </c>
      <c r="W692" s="11" t="str">
        <f>tbl_financials[[#This Row],[Month_Name]] &amp; "_" &amp; (tbl_financials[[#This Row],[Year]]-1)</f>
        <v>October_2012</v>
      </c>
      <c r="X692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93" spans="1:24" x14ac:dyDescent="0.3">
      <c r="A693" t="s">
        <v>5</v>
      </c>
      <c r="B693" t="s">
        <v>16</v>
      </c>
      <c r="C693" t="s">
        <v>36</v>
      </c>
      <c r="D693" t="s">
        <v>41</v>
      </c>
      <c r="E693" s="9">
        <v>1175</v>
      </c>
      <c r="F693" s="7">
        <v>250</v>
      </c>
      <c r="G693" s="7">
        <v>15</v>
      </c>
      <c r="H693" s="7">
        <v>17625</v>
      </c>
      <c r="I693" s="5">
        <v>2643.75</v>
      </c>
      <c r="J693" s="5">
        <v>14981.25</v>
      </c>
      <c r="K693" s="7">
        <v>11750</v>
      </c>
      <c r="L693" s="5">
        <v>3231.25</v>
      </c>
      <c r="M693" s="1">
        <v>41913</v>
      </c>
      <c r="N693">
        <v>10</v>
      </c>
      <c r="O693" t="s">
        <v>27</v>
      </c>
      <c r="P693" t="s">
        <v>12</v>
      </c>
      <c r="Q693" s="5">
        <f>tbl_financials[[#This Row],[Net_Sales]]</f>
        <v>14981.25</v>
      </c>
      <c r="R693" s="5">
        <f>ROUND(tbl_financials[[#This Row],[Revenue]]*(0.12+MOD(ROW(),7)/100),2)</f>
        <v>1797.75</v>
      </c>
      <c r="S693" s="7">
        <f t="shared" si="10"/>
        <v>4483</v>
      </c>
      <c r="T693" s="5">
        <f>tbl_financials[[#This Row],[Gross_Profit]]-tbl_financials[[#This Row],[Operating_Expenses]]+tbl_financials[[#This Row],[Other_Income]]</f>
        <v>5916.5</v>
      </c>
      <c r="U693" s="11">
        <f>IF(tbl_financials[[#This Row],[Revenue]]=0,0,tbl_financials[[#This Row],[Net_Profit]]/tbl_financials[[#This Row],[Revenue]])</f>
        <v>0.39492699207342513</v>
      </c>
      <c r="V693" s="11" t="str">
        <f>tbl_financials[[#This Row],[Month_Name]] &amp; "_" &amp; tbl_financials[[#This Row],[Year]]</f>
        <v>October_2014</v>
      </c>
      <c r="W693" s="11" t="str">
        <f>tbl_financials[[#This Row],[Month_Name]] &amp; "_" &amp; (tbl_financials[[#This Row],[Year]]-1)</f>
        <v>October_2013</v>
      </c>
      <c r="X693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-0.65260869565217394</v>
      </c>
    </row>
    <row r="694" spans="1:24" x14ac:dyDescent="0.3">
      <c r="A694" t="s">
        <v>6</v>
      </c>
      <c r="B694" t="s">
        <v>13</v>
      </c>
      <c r="C694" t="s">
        <v>36</v>
      </c>
      <c r="D694" t="s">
        <v>41</v>
      </c>
      <c r="E694" s="9">
        <v>2954</v>
      </c>
      <c r="F694" s="7">
        <v>250</v>
      </c>
      <c r="G694" s="7">
        <v>125</v>
      </c>
      <c r="H694" s="7">
        <v>369250</v>
      </c>
      <c r="I694" s="5">
        <v>55387.5</v>
      </c>
      <c r="J694" s="5">
        <v>313862.5</v>
      </c>
      <c r="K694" s="7">
        <v>354480</v>
      </c>
      <c r="L694" s="5">
        <v>-40617.5</v>
      </c>
      <c r="M694" s="1">
        <v>41579</v>
      </c>
      <c r="N694">
        <v>11</v>
      </c>
      <c r="O694" t="s">
        <v>28</v>
      </c>
      <c r="P694" t="s">
        <v>11</v>
      </c>
      <c r="Q694" s="5">
        <f>tbl_financials[[#This Row],[Net_Sales]]</f>
        <v>313862.5</v>
      </c>
      <c r="R694" s="5">
        <f>ROUND(tbl_financials[[#This Row],[Revenue]]*(0.12+MOD(ROW(),7)/100),2)</f>
        <v>40802.129999999997</v>
      </c>
      <c r="S694" s="7">
        <f t="shared" si="10"/>
        <v>4514</v>
      </c>
      <c r="T694" s="5">
        <f>tbl_financials[[#This Row],[Gross_Profit]]-tbl_financials[[#This Row],[Operating_Expenses]]+tbl_financials[[#This Row],[Other_Income]]</f>
        <v>-76905.63</v>
      </c>
      <c r="U694" s="11">
        <f>IF(tbl_financials[[#This Row],[Revenue]]=0,0,tbl_financials[[#This Row],[Net_Profit]]/tbl_financials[[#This Row],[Revenue]])</f>
        <v>-0.24502968656656976</v>
      </c>
      <c r="V694" s="11" t="str">
        <f>tbl_financials[[#This Row],[Month_Name]] &amp; "_" &amp; tbl_financials[[#This Row],[Year]]</f>
        <v>November_2013</v>
      </c>
      <c r="W694" s="11" t="str">
        <f>tbl_financials[[#This Row],[Month_Name]] &amp; "_" &amp; (tbl_financials[[#This Row],[Year]]-1)</f>
        <v>November_2012</v>
      </c>
      <c r="X694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95" spans="1:24" x14ac:dyDescent="0.3">
      <c r="A695" t="s">
        <v>6</v>
      </c>
      <c r="B695" t="s">
        <v>16</v>
      </c>
      <c r="C695" t="s">
        <v>36</v>
      </c>
      <c r="D695" t="s">
        <v>41</v>
      </c>
      <c r="E695" s="9">
        <v>552</v>
      </c>
      <c r="F695" s="7">
        <v>250</v>
      </c>
      <c r="G695" s="7">
        <v>125</v>
      </c>
      <c r="H695" s="7">
        <v>69000</v>
      </c>
      <c r="I695" s="5">
        <v>10350</v>
      </c>
      <c r="J695" s="5">
        <v>58650</v>
      </c>
      <c r="K695" s="7">
        <v>66240</v>
      </c>
      <c r="L695" s="5">
        <v>-7590</v>
      </c>
      <c r="M695" s="1">
        <v>41944</v>
      </c>
      <c r="N695">
        <v>11</v>
      </c>
      <c r="O695" t="s">
        <v>28</v>
      </c>
      <c r="P695" t="s">
        <v>12</v>
      </c>
      <c r="Q695" s="5">
        <f>tbl_financials[[#This Row],[Net_Sales]]</f>
        <v>58650</v>
      </c>
      <c r="R695" s="5">
        <f>ROUND(tbl_financials[[#This Row],[Revenue]]*(0.12+MOD(ROW(),7)/100),2)</f>
        <v>8211</v>
      </c>
      <c r="S695" s="7">
        <f t="shared" si="10"/>
        <v>4545</v>
      </c>
      <c r="T695" s="5">
        <f>tbl_financials[[#This Row],[Gross_Profit]]-tbl_financials[[#This Row],[Operating_Expenses]]+tbl_financials[[#This Row],[Other_Income]]</f>
        <v>-11256</v>
      </c>
      <c r="U695" s="11">
        <f>IF(tbl_financials[[#This Row],[Revenue]]=0,0,tbl_financials[[#This Row],[Net_Profit]]/tbl_financials[[#This Row],[Revenue]])</f>
        <v>-0.19191815856777494</v>
      </c>
      <c r="V695" s="11" t="str">
        <f>tbl_financials[[#This Row],[Month_Name]] &amp; "_" &amp; tbl_financials[[#This Row],[Year]]</f>
        <v>November_2014</v>
      </c>
      <c r="W695" s="11" t="str">
        <f>tbl_financials[[#This Row],[Month_Name]] &amp; "_" &amp; (tbl_financials[[#This Row],[Year]]-1)</f>
        <v>November_2013</v>
      </c>
      <c r="X695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-0.9028571428571428</v>
      </c>
    </row>
    <row r="696" spans="1:24" x14ac:dyDescent="0.3">
      <c r="A696" t="s">
        <v>7</v>
      </c>
      <c r="B696" t="s">
        <v>15</v>
      </c>
      <c r="C696" t="s">
        <v>36</v>
      </c>
      <c r="D696" t="s">
        <v>41</v>
      </c>
      <c r="E696" s="9">
        <v>293</v>
      </c>
      <c r="F696" s="7">
        <v>250</v>
      </c>
      <c r="G696" s="7">
        <v>20</v>
      </c>
      <c r="H696" s="7">
        <v>5860</v>
      </c>
      <c r="I696" s="5">
        <v>879</v>
      </c>
      <c r="J696" s="5">
        <v>4981</v>
      </c>
      <c r="K696" s="7">
        <v>2930</v>
      </c>
      <c r="L696" s="5">
        <v>2051</v>
      </c>
      <c r="M696" s="1">
        <v>41974</v>
      </c>
      <c r="N696">
        <v>12</v>
      </c>
      <c r="O696" t="s">
        <v>29</v>
      </c>
      <c r="P696" t="s">
        <v>12</v>
      </c>
      <c r="Q696" s="5">
        <f>tbl_financials[[#This Row],[Net_Sales]]</f>
        <v>4981</v>
      </c>
      <c r="R696" s="5">
        <f>ROUND(tbl_financials[[#This Row],[Revenue]]*(0.12+MOD(ROW(),7)/100),2)</f>
        <v>747.15</v>
      </c>
      <c r="S696" s="7">
        <f t="shared" si="10"/>
        <v>4576</v>
      </c>
      <c r="T696" s="5">
        <f>tbl_financials[[#This Row],[Gross_Profit]]-tbl_financials[[#This Row],[Operating_Expenses]]+tbl_financials[[#This Row],[Other_Income]]</f>
        <v>5879.85</v>
      </c>
      <c r="U696" s="11">
        <f>IF(tbl_financials[[#This Row],[Revenue]]=0,0,tbl_financials[[#This Row],[Net_Profit]]/tbl_financials[[#This Row],[Revenue]])</f>
        <v>1.1804557317807669</v>
      </c>
      <c r="V696" s="11" t="str">
        <f>tbl_financials[[#This Row],[Month_Name]] &amp; "_" &amp; tbl_financials[[#This Row],[Year]]</f>
        <v>December_2014</v>
      </c>
      <c r="W696" s="11" t="str">
        <f>tbl_financials[[#This Row],[Month_Name]] &amp; "_" &amp; (tbl_financials[[#This Row],[Year]]-1)</f>
        <v>December_2013</v>
      </c>
      <c r="X696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-0.84569392812887234</v>
      </c>
    </row>
    <row r="697" spans="1:24" x14ac:dyDescent="0.3">
      <c r="A697" t="s">
        <v>4</v>
      </c>
      <c r="B697" t="s">
        <v>15</v>
      </c>
      <c r="C697" t="s">
        <v>37</v>
      </c>
      <c r="D697" t="s">
        <v>41</v>
      </c>
      <c r="E697" s="9">
        <v>2475</v>
      </c>
      <c r="F697" s="7">
        <v>260</v>
      </c>
      <c r="G697" s="7">
        <v>300</v>
      </c>
      <c r="H697" s="7">
        <v>742500</v>
      </c>
      <c r="I697" s="5">
        <v>111375</v>
      </c>
      <c r="J697" s="5">
        <v>631125</v>
      </c>
      <c r="K697" s="7">
        <v>618750</v>
      </c>
      <c r="L697" s="5">
        <v>12375</v>
      </c>
      <c r="M697" s="1">
        <v>41699</v>
      </c>
      <c r="N697">
        <v>3</v>
      </c>
      <c r="O697" t="s">
        <v>20</v>
      </c>
      <c r="P697" t="s">
        <v>12</v>
      </c>
      <c r="Q697" s="5">
        <f>tbl_financials[[#This Row],[Net_Sales]]</f>
        <v>631125</v>
      </c>
      <c r="R697" s="5">
        <f>ROUND(tbl_financials[[#This Row],[Revenue]]*(0.12+MOD(ROW(),7)/100),2)</f>
        <v>100980</v>
      </c>
      <c r="S697" s="7">
        <f t="shared" si="10"/>
        <v>4607</v>
      </c>
      <c r="T697" s="5">
        <f>tbl_financials[[#This Row],[Gross_Profit]]-tbl_financials[[#This Row],[Operating_Expenses]]+tbl_financials[[#This Row],[Other_Income]]</f>
        <v>-83998</v>
      </c>
      <c r="U697" s="11">
        <f>IF(tbl_financials[[#This Row],[Revenue]]=0,0,tbl_financials[[#This Row],[Net_Profit]]/tbl_financials[[#This Row],[Revenue]])</f>
        <v>-0.13309249356308181</v>
      </c>
      <c r="V697" s="11" t="str">
        <f>tbl_financials[[#This Row],[Month_Name]] &amp; "_" &amp; tbl_financials[[#This Row],[Year]]</f>
        <v>March_2014</v>
      </c>
      <c r="W697" s="11" t="str">
        <f>tbl_financials[[#This Row],[Month_Name]] &amp; "_" &amp; (tbl_financials[[#This Row],[Year]]-1)</f>
        <v>March_2013</v>
      </c>
      <c r="X697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698" spans="1:24" x14ac:dyDescent="0.3">
      <c r="A698" t="s">
        <v>4</v>
      </c>
      <c r="B698" t="s">
        <v>17</v>
      </c>
      <c r="C698" t="s">
        <v>37</v>
      </c>
      <c r="D698" t="s">
        <v>41</v>
      </c>
      <c r="E698" s="9">
        <v>546</v>
      </c>
      <c r="F698" s="7">
        <v>260</v>
      </c>
      <c r="G698" s="7">
        <v>300</v>
      </c>
      <c r="H698" s="7">
        <v>163800</v>
      </c>
      <c r="I698" s="5">
        <v>24570</v>
      </c>
      <c r="J698" s="5">
        <v>139230</v>
      </c>
      <c r="K698" s="7">
        <v>136500</v>
      </c>
      <c r="L698" s="5">
        <v>2730</v>
      </c>
      <c r="M698" s="1">
        <v>41913</v>
      </c>
      <c r="N698">
        <v>10</v>
      </c>
      <c r="O698" t="s">
        <v>27</v>
      </c>
      <c r="P698" t="s">
        <v>12</v>
      </c>
      <c r="Q698" s="5">
        <f>tbl_financials[[#This Row],[Net_Sales]]</f>
        <v>139230</v>
      </c>
      <c r="R698" s="5">
        <f>ROUND(tbl_financials[[#This Row],[Revenue]]*(0.12+MOD(ROW(),7)/100),2)</f>
        <v>23669.1</v>
      </c>
      <c r="S698" s="7">
        <f t="shared" si="10"/>
        <v>4638</v>
      </c>
      <c r="T698" s="5">
        <f>tbl_financials[[#This Row],[Gross_Profit]]-tbl_financials[[#This Row],[Operating_Expenses]]+tbl_financials[[#This Row],[Other_Income]]</f>
        <v>-16301.099999999999</v>
      </c>
      <c r="U698" s="11">
        <f>IF(tbl_financials[[#This Row],[Revenue]]=0,0,tbl_financials[[#This Row],[Net_Profit]]/tbl_financials[[#This Row],[Revenue]])</f>
        <v>-0.11708037060978237</v>
      </c>
      <c r="V698" s="11" t="str">
        <f>tbl_financials[[#This Row],[Month_Name]] &amp; "_" &amp; tbl_financials[[#This Row],[Year]]</f>
        <v>October_2014</v>
      </c>
      <c r="W698" s="11" t="str">
        <f>tbl_financials[[#This Row],[Month_Name]] &amp; "_" &amp; (tbl_financials[[#This Row],[Year]]-1)</f>
        <v>October_2013</v>
      </c>
      <c r="X698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2.2285217391304348</v>
      </c>
    </row>
    <row r="699" spans="1:24" x14ac:dyDescent="0.3">
      <c r="A699" t="s">
        <v>7</v>
      </c>
      <c r="B699" t="s">
        <v>17</v>
      </c>
      <c r="C699" t="s">
        <v>33</v>
      </c>
      <c r="D699" t="s">
        <v>41</v>
      </c>
      <c r="E699" s="9">
        <v>1368</v>
      </c>
      <c r="F699" s="7">
        <v>5</v>
      </c>
      <c r="G699" s="7">
        <v>7</v>
      </c>
      <c r="H699" s="7">
        <v>9576</v>
      </c>
      <c r="I699" s="5">
        <v>1436.4</v>
      </c>
      <c r="J699" s="5">
        <v>8139.6</v>
      </c>
      <c r="K699" s="7">
        <v>6840</v>
      </c>
      <c r="L699" s="5">
        <v>1299.5999999999999</v>
      </c>
      <c r="M699" s="1">
        <v>41671</v>
      </c>
      <c r="N699">
        <v>2</v>
      </c>
      <c r="O699" t="s">
        <v>19</v>
      </c>
      <c r="P699" t="s">
        <v>12</v>
      </c>
      <c r="Q699" s="5">
        <f>tbl_financials[[#This Row],[Net_Sales]]</f>
        <v>8139.6</v>
      </c>
      <c r="R699" s="5">
        <f>ROUND(tbl_financials[[#This Row],[Revenue]]*(0.12+MOD(ROW(),7)/100),2)</f>
        <v>1465.13</v>
      </c>
      <c r="S699" s="7">
        <f t="shared" si="10"/>
        <v>4669</v>
      </c>
      <c r="T699" s="5">
        <f>tbl_financials[[#This Row],[Gross_Profit]]-tbl_financials[[#This Row],[Operating_Expenses]]+tbl_financials[[#This Row],[Other_Income]]</f>
        <v>4503.4699999999993</v>
      </c>
      <c r="U699" s="11">
        <f>IF(tbl_financials[[#This Row],[Revenue]]=0,0,tbl_financials[[#This Row],[Net_Profit]]/tbl_financials[[#This Row],[Revenue]])</f>
        <v>0.5532790309106097</v>
      </c>
      <c r="V699" s="11" t="str">
        <f>tbl_financials[[#This Row],[Month_Name]] &amp; "_" &amp; tbl_financials[[#This Row],[Year]]</f>
        <v>February_2014</v>
      </c>
      <c r="W699" s="11" t="str">
        <f>tbl_financials[[#This Row],[Month_Name]] &amp; "_" &amp; (tbl_financials[[#This Row],[Year]]-1)</f>
        <v>February_2013</v>
      </c>
      <c r="X699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700" spans="1:24" x14ac:dyDescent="0.3">
      <c r="A700" t="s">
        <v>7</v>
      </c>
      <c r="B700" t="s">
        <v>13</v>
      </c>
      <c r="C700" t="s">
        <v>34</v>
      </c>
      <c r="D700" t="s">
        <v>41</v>
      </c>
      <c r="E700" s="9">
        <v>723</v>
      </c>
      <c r="F700" s="7">
        <v>10</v>
      </c>
      <c r="G700" s="7">
        <v>7</v>
      </c>
      <c r="H700" s="7">
        <v>5061</v>
      </c>
      <c r="I700" s="5">
        <v>759.15</v>
      </c>
      <c r="J700" s="5">
        <v>4301.8500000000004</v>
      </c>
      <c r="K700" s="7">
        <v>3615</v>
      </c>
      <c r="L700" s="5">
        <v>686.85</v>
      </c>
      <c r="M700" s="1">
        <v>41730</v>
      </c>
      <c r="N700">
        <v>4</v>
      </c>
      <c r="O700" t="s">
        <v>21</v>
      </c>
      <c r="P700" t="s">
        <v>12</v>
      </c>
      <c r="Q700" s="5">
        <f>tbl_financials[[#This Row],[Net_Sales]]</f>
        <v>4301.8500000000004</v>
      </c>
      <c r="R700" s="5">
        <f>ROUND(tbl_financials[[#This Row],[Revenue]]*(0.12+MOD(ROW(),7)/100),2)</f>
        <v>516.22</v>
      </c>
      <c r="S700" s="7">
        <f t="shared" si="10"/>
        <v>4700</v>
      </c>
      <c r="T700" s="5">
        <f>tbl_financials[[#This Row],[Gross_Profit]]-tbl_financials[[#This Row],[Operating_Expenses]]+tbl_financials[[#This Row],[Other_Income]]</f>
        <v>4870.63</v>
      </c>
      <c r="U700" s="11">
        <f>IF(tbl_financials[[#This Row],[Revenue]]=0,0,tbl_financials[[#This Row],[Net_Profit]]/tbl_financials[[#This Row],[Revenue]])</f>
        <v>1.1322175343166312</v>
      </c>
      <c r="V700" s="11" t="str">
        <f>tbl_financials[[#This Row],[Month_Name]] &amp; "_" &amp; tbl_financials[[#This Row],[Year]]</f>
        <v>April_2014</v>
      </c>
      <c r="W700" s="11" t="str">
        <f>tbl_financials[[#This Row],[Month_Name]] &amp; "_" &amp; (tbl_financials[[#This Row],[Year]]-1)</f>
        <v>April_2013</v>
      </c>
      <c r="X700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701" spans="1:24" x14ac:dyDescent="0.3">
      <c r="A701" t="s">
        <v>8</v>
      </c>
      <c r="B701" t="s">
        <v>14</v>
      </c>
      <c r="C701" t="s">
        <v>36</v>
      </c>
      <c r="D701" t="s">
        <v>41</v>
      </c>
      <c r="E701" s="9">
        <v>1806</v>
      </c>
      <c r="F701" s="7">
        <v>250</v>
      </c>
      <c r="G701" s="7">
        <v>12</v>
      </c>
      <c r="H701" s="7">
        <v>21672</v>
      </c>
      <c r="I701" s="5">
        <v>3250.8</v>
      </c>
      <c r="J701" s="5">
        <v>18421.2</v>
      </c>
      <c r="K701" s="7">
        <v>5418</v>
      </c>
      <c r="L701" s="5">
        <v>13003.2</v>
      </c>
      <c r="M701" s="1">
        <v>41760</v>
      </c>
      <c r="N701">
        <v>5</v>
      </c>
      <c r="O701" t="s">
        <v>22</v>
      </c>
      <c r="P701" t="s">
        <v>12</v>
      </c>
      <c r="Q701" s="5">
        <f>tbl_financials[[#This Row],[Net_Sales]]</f>
        <v>18421.2</v>
      </c>
      <c r="R701" s="5">
        <f>ROUND(tbl_financials[[#This Row],[Revenue]]*(0.12+MOD(ROW(),7)/100),2)</f>
        <v>2394.7600000000002</v>
      </c>
      <c r="S701" s="7">
        <f t="shared" si="10"/>
        <v>4731</v>
      </c>
      <c r="T701" s="5">
        <f>tbl_financials[[#This Row],[Gross_Profit]]-tbl_financials[[#This Row],[Operating_Expenses]]+tbl_financials[[#This Row],[Other_Income]]</f>
        <v>15339.44</v>
      </c>
      <c r="U701" s="11">
        <f>IF(tbl_financials[[#This Row],[Revenue]]=0,0,tbl_financials[[#This Row],[Net_Profit]]/tbl_financials[[#This Row],[Revenue]])</f>
        <v>0.83270579549649315</v>
      </c>
      <c r="V701" s="11" t="str">
        <f>tbl_financials[[#This Row],[Month_Name]] &amp; "_" &amp; tbl_financials[[#This Row],[Year]]</f>
        <v>May_2014</v>
      </c>
      <c r="W701" s="11" t="str">
        <f>tbl_financials[[#This Row],[Month_Name]] &amp; "_" &amp; (tbl_financials[[#This Row],[Year]]-1)</f>
        <v>May_2013</v>
      </c>
      <c r="X701" s="15">
        <f>IFERROR((tbl_financials[[#This Row],[Revenue]] - _xlfn.XLOOKUP(tbl_financials[[#This Row],[Prev_Year_Key]], tbl_financials[MonthYear_Key], tbl_financials[Revenue])) /
_xlfn.XLOOKUP(tbl_financials[[#This Row],[Prev_Year_Key]], tbl_financials[MonthYear_Key], tbl_financials[Revenue]), 0)</f>
        <v>0</v>
      </c>
    </row>
    <row r="702" spans="1:24" x14ac:dyDescent="0.3">
      <c r="A702" t="s">
        <v>54</v>
      </c>
      <c r="E702"/>
      <c r="F702"/>
      <c r="G702"/>
      <c r="H702"/>
      <c r="I702"/>
      <c r="J702"/>
      <c r="K702"/>
      <c r="L702"/>
      <c r="M702"/>
      <c r="R702"/>
      <c r="S702"/>
      <c r="T702" s="5"/>
      <c r="U702" s="12"/>
      <c r="V702" s="13"/>
      <c r="W702" s="13"/>
      <c r="X702" s="16"/>
    </row>
  </sheetData>
  <conditionalFormatting sqref="Q1:Q1048576 U1:X1048576">
    <cfRule type="cellIs" dxfId="1" priority="2" operator="lessThan">
      <formula>0</formula>
    </cfRule>
  </conditionalFormatting>
  <conditionalFormatting sqref="T1:T701 T703:T1048576">
    <cfRule type="cellIs" dxfId="0" priority="4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E8503F-EFD3-444E-ABF9-4F0B1A788857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5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Hitesh Garg</cp:lastModifiedBy>
  <cp:lastPrinted>2025-11-18T12:35:44Z</cp:lastPrinted>
  <dcterms:created xsi:type="dcterms:W3CDTF">2014-01-28T02:45:41Z</dcterms:created>
  <dcterms:modified xsi:type="dcterms:W3CDTF">2025-12-16T04:04:05Z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